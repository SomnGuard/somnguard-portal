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e27d5f675d753cb/Desktop/"/>
    </mc:Choice>
  </mc:AlternateContent>
  <xr:revisionPtr revIDLastSave="13" documentId="8_{8C9D1D69-620E-4FC2-8FA6-A92195998002}" xr6:coauthVersionLast="47" xr6:coauthVersionMax="47" xr10:uidLastSave="{D33277EF-4B68-4376-838F-411BD98B8C54}"/>
  <bookViews>
    <workbookView xWindow="-120" yWindow="-120" windowWidth="20730" windowHeight="11040" activeTab="1" xr2:uid="{00000000-000D-0000-FFFF-FFFF00000000}"/>
  </bookViews>
  <sheets>
    <sheet name="PORTADA" sheetId="1" r:id="rId1"/>
    <sheet name="BASE DE DATOS " sheetId="2" r:id="rId2"/>
    <sheet name="NOVEDADES" sheetId="4" r:id="rId3"/>
    <sheet name="LISTA DE FALLAS" sheetId="5" r:id="rId4"/>
    <sheet name="2" sheetId="3" r:id="rId5"/>
  </sheets>
  <definedNames>
    <definedName name="_xlnm._FilterDatabase" localSheetId="2" hidden="1">NOVEDADES!$B$3:$G$26</definedName>
    <definedName name="_xlnm.Print_Area" localSheetId="1">'BASE DE DATOS '!$A$3:$Z$31</definedName>
    <definedName name="_xlnm.Print_Area" localSheetId="2">NOVEDADES!$A$1:$AH$59</definedName>
    <definedName name="_xlnm.Print_Area" localSheetId="0">PORTADA!$A$1:$AP$68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26" i="5" l="1"/>
  <c r="AJ26" i="5"/>
  <c r="AL25" i="5"/>
  <c r="AJ25" i="5"/>
  <c r="AL24" i="5"/>
  <c r="AJ24" i="5"/>
  <c r="AL23" i="5"/>
  <c r="AJ23" i="5"/>
  <c r="AL22" i="5"/>
  <c r="AJ22" i="5"/>
  <c r="AL21" i="5"/>
  <c r="AJ21" i="5"/>
  <c r="AL20" i="5"/>
  <c r="AJ20" i="5"/>
  <c r="AL19" i="5"/>
  <c r="AJ19" i="5"/>
  <c r="AL18" i="5"/>
  <c r="AJ18" i="5"/>
  <c r="AL17" i="5"/>
  <c r="AJ17" i="5"/>
  <c r="AL16" i="5"/>
  <c r="AJ16" i="5"/>
  <c r="AL15" i="5"/>
  <c r="AJ15" i="5"/>
  <c r="AL14" i="5"/>
  <c r="AJ14" i="5"/>
  <c r="AL13" i="5"/>
  <c r="AJ13" i="5"/>
  <c r="AL12" i="5"/>
  <c r="AJ12" i="5"/>
  <c r="AL11" i="5"/>
  <c r="AJ11" i="5"/>
  <c r="AL10" i="5"/>
  <c r="AJ10" i="5"/>
  <c r="AL9" i="5"/>
  <c r="AJ9" i="5"/>
  <c r="AL8" i="5"/>
  <c r="AJ8" i="5"/>
  <c r="AL7" i="5"/>
  <c r="AJ7" i="5"/>
  <c r="AL6" i="5"/>
  <c r="AJ6" i="5"/>
  <c r="AL5" i="5"/>
  <c r="AJ5" i="5"/>
  <c r="AL4" i="5"/>
  <c r="AJ4" i="5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</calcChain>
</file>

<file path=xl/sharedStrings.xml><?xml version="1.0" encoding="utf-8"?>
<sst xmlns="http://schemas.openxmlformats.org/spreadsheetml/2006/main" count="497" uniqueCount="252">
  <si>
    <t>ITEM</t>
  </si>
  <si>
    <t>CODIGO</t>
  </si>
  <si>
    <t xml:space="preserve">APELLIDOS </t>
  </si>
  <si>
    <t>NOMBRE</t>
  </si>
  <si>
    <t>TIPO DC.</t>
  </si>
  <si>
    <t>N°  IDENTIFICACIÓN</t>
  </si>
  <si>
    <t xml:space="preserve">FECHA DE NACIMIENTO </t>
  </si>
  <si>
    <t>EDAD</t>
  </si>
  <si>
    <t>SEXO</t>
  </si>
  <si>
    <t>TELEFONO</t>
  </si>
  <si>
    <t>CORREO</t>
  </si>
  <si>
    <t>CIUDAD</t>
  </si>
  <si>
    <t>DIRECCIÓN</t>
  </si>
  <si>
    <t>IMAGEN</t>
  </si>
  <si>
    <t>CARGO</t>
  </si>
  <si>
    <t>Columna1</t>
  </si>
  <si>
    <t xml:space="preserve"> SUELDO BASICO </t>
  </si>
  <si>
    <t xml:space="preserve">TIPO CONTRATO </t>
  </si>
  <si>
    <t>ARL</t>
  </si>
  <si>
    <t>EPS</t>
  </si>
  <si>
    <t xml:space="preserve">CAJA DE COMPENSACION </t>
  </si>
  <si>
    <t xml:space="preserve">FONDO DE PENSION </t>
  </si>
  <si>
    <t>CESANTIAS</t>
  </si>
  <si>
    <t>A001</t>
  </si>
  <si>
    <t xml:space="preserve"> peña</t>
  </si>
  <si>
    <t>pablo</t>
  </si>
  <si>
    <t>CC</t>
  </si>
  <si>
    <t>GERENTE</t>
  </si>
  <si>
    <t>DEFINIDO</t>
  </si>
  <si>
    <t xml:space="preserve">COLMENA </t>
  </si>
  <si>
    <t xml:space="preserve">SANITAS </t>
  </si>
  <si>
    <t>CAFAM</t>
  </si>
  <si>
    <t>PORVENIR S.A</t>
  </si>
  <si>
    <t>PROTECCION</t>
  </si>
  <si>
    <t>A002</t>
  </si>
  <si>
    <t xml:space="preserve">rodriguez </t>
  </si>
  <si>
    <t xml:space="preserve">lorena </t>
  </si>
  <si>
    <t>SUB-GERENTE</t>
  </si>
  <si>
    <t>A003</t>
  </si>
  <si>
    <t>santiago</t>
  </si>
  <si>
    <t>JEFE ADMINISTRATIVO</t>
  </si>
  <si>
    <t>A004</t>
  </si>
  <si>
    <t xml:space="preserve"> cordoba </t>
  </si>
  <si>
    <t xml:space="preserve">alexandra </t>
  </si>
  <si>
    <t>GESTOR DE SERVICIOS ESPECIALES</t>
  </si>
  <si>
    <t>A005</t>
  </si>
  <si>
    <t xml:space="preserve"> gomez</t>
  </si>
  <si>
    <t xml:space="preserve">carlos </t>
  </si>
  <si>
    <t>COORDINADOR CONTABLE</t>
  </si>
  <si>
    <t>A006</t>
  </si>
  <si>
    <t>martinez</t>
  </si>
  <si>
    <t xml:space="preserve">ana </t>
  </si>
  <si>
    <t>FACTURACIÓN</t>
  </si>
  <si>
    <t>A007</t>
  </si>
  <si>
    <t xml:space="preserve"> fernandez</t>
  </si>
  <si>
    <t xml:space="preserve">luis </t>
  </si>
  <si>
    <t>AUXILIAR DE CONTABILIDAD</t>
  </si>
  <si>
    <t>A008</t>
  </si>
  <si>
    <t xml:space="preserve"> lopez</t>
  </si>
  <si>
    <t xml:space="preserve">laura </t>
  </si>
  <si>
    <t xml:space="preserve">SEGURIDAD Y SALUD </t>
  </si>
  <si>
    <t>A009</t>
  </si>
  <si>
    <t xml:space="preserve"> sanchez</t>
  </si>
  <si>
    <t xml:space="preserve">jorge </t>
  </si>
  <si>
    <t>ASISTENTE ADMINISTRATIVO</t>
  </si>
  <si>
    <t>A010</t>
  </si>
  <si>
    <t xml:space="preserve"> ramirez</t>
  </si>
  <si>
    <t xml:space="preserve">sofia </t>
  </si>
  <si>
    <t>MENSAJERO</t>
  </si>
  <si>
    <t>A011</t>
  </si>
  <si>
    <t xml:space="preserve"> torres</t>
  </si>
  <si>
    <t xml:space="preserve">diego </t>
  </si>
  <si>
    <t>JEFE DE MERCADEOS Y VENTAS</t>
  </si>
  <si>
    <t>A012</t>
  </si>
  <si>
    <t xml:space="preserve"> diaz</t>
  </si>
  <si>
    <t xml:space="preserve">camila </t>
  </si>
  <si>
    <t>COORDINADOR INDUSTRIAL</t>
  </si>
  <si>
    <t>A013</t>
  </si>
  <si>
    <t xml:space="preserve"> morales</t>
  </si>
  <si>
    <t xml:space="preserve">andres </t>
  </si>
  <si>
    <t>ASESOR INDUSTRIAL</t>
  </si>
  <si>
    <t>A014</t>
  </si>
  <si>
    <t xml:space="preserve"> castro</t>
  </si>
  <si>
    <t xml:space="preserve">natalia </t>
  </si>
  <si>
    <t>ASISTENTE INDUSTRIAL</t>
  </si>
  <si>
    <t>A015</t>
  </si>
  <si>
    <t xml:space="preserve"> ruiz</t>
  </si>
  <si>
    <t xml:space="preserve">gabriela </t>
  </si>
  <si>
    <t>ASESOR COMERCIAL</t>
  </si>
  <si>
    <t>A016</t>
  </si>
  <si>
    <t>COORDINADOR COMERCIAL</t>
  </si>
  <si>
    <t>A017</t>
  </si>
  <si>
    <t>ortiz</t>
  </si>
  <si>
    <t xml:space="preserve">daniela </t>
  </si>
  <si>
    <t>ASISTENTE COMERCIAL</t>
  </si>
  <si>
    <t>A018</t>
  </si>
  <si>
    <t xml:space="preserve"> vargas</t>
  </si>
  <si>
    <t xml:space="preserve">alejandro </t>
  </si>
  <si>
    <t>JEFE DE ENSAMBLES</t>
  </si>
  <si>
    <t>A019</t>
  </si>
  <si>
    <t xml:space="preserve"> mendoza</t>
  </si>
  <si>
    <t xml:space="preserve">paula </t>
  </si>
  <si>
    <t>ASISTENTE DE ENSAMBLES</t>
  </si>
  <si>
    <t>A020</t>
  </si>
  <si>
    <t xml:space="preserve"> silva</t>
  </si>
  <si>
    <t xml:space="preserve">fernando </t>
  </si>
  <si>
    <t>JEFE DE BODEGA Y DESPACHO</t>
  </si>
  <si>
    <t>A021</t>
  </si>
  <si>
    <t xml:space="preserve"> guerrero</t>
  </si>
  <si>
    <t xml:space="preserve">valentina </t>
  </si>
  <si>
    <t>ASISTENTE DE BODEGA</t>
  </si>
  <si>
    <t>A022</t>
  </si>
  <si>
    <t xml:space="preserve"> rojas </t>
  </si>
  <si>
    <t xml:space="preserve">mateo </t>
  </si>
  <si>
    <t>CONDUCTORES</t>
  </si>
  <si>
    <t>A023</t>
  </si>
  <si>
    <t xml:space="preserve"> moreno</t>
  </si>
  <si>
    <t xml:space="preserve">isabella </t>
  </si>
  <si>
    <t>AUXILIAR DE BODEGA</t>
  </si>
  <si>
    <t>=</t>
  </si>
  <si>
    <t>NOMBRES Y APELLIDOS</t>
  </si>
  <si>
    <t>N°DE CEDULA</t>
  </si>
  <si>
    <t>SUELDO PACTADO</t>
  </si>
  <si>
    <t>DIAS LABORADOS</t>
  </si>
  <si>
    <t>pablo peña</t>
  </si>
  <si>
    <t xml:space="preserve">lorena rodriguez </t>
  </si>
  <si>
    <t>santiago peña</t>
  </si>
  <si>
    <t xml:space="preserve">alexandra cordoba </t>
  </si>
  <si>
    <t>carlos gomez</t>
  </si>
  <si>
    <t>ana martinez</t>
  </si>
  <si>
    <t>luis fernandez</t>
  </si>
  <si>
    <t>laura lopez</t>
  </si>
  <si>
    <t>jorge sanchez</t>
  </si>
  <si>
    <t>sofia ramirez</t>
  </si>
  <si>
    <t>diego torres</t>
  </si>
  <si>
    <t>camila diaz</t>
  </si>
  <si>
    <t>andres morales</t>
  </si>
  <si>
    <t>natalia castro</t>
  </si>
  <si>
    <t>gabriela ruiz</t>
  </si>
  <si>
    <t>daniela ortiz</t>
  </si>
  <si>
    <t>alejandro vargas</t>
  </si>
  <si>
    <t>paula mendoza</t>
  </si>
  <si>
    <t>fernando silva</t>
  </si>
  <si>
    <t>valentina guerrero</t>
  </si>
  <si>
    <t xml:space="preserve">mateo rojas </t>
  </si>
  <si>
    <t>isabella moreno</t>
  </si>
  <si>
    <t>SEMANA 1</t>
  </si>
  <si>
    <t>SEMANA 2</t>
  </si>
  <si>
    <t>SEMANA 3</t>
  </si>
  <si>
    <t>SEMANA 4</t>
  </si>
  <si>
    <t xml:space="preserve">NOMBRES Y APELLIDOS 
</t>
  </si>
  <si>
    <t xml:space="preserve">SUELDO PACTADO
</t>
  </si>
  <si>
    <t>L</t>
  </si>
  <si>
    <t>M</t>
  </si>
  <si>
    <t>X</t>
  </si>
  <si>
    <t>J</t>
  </si>
  <si>
    <t>V</t>
  </si>
  <si>
    <t>S</t>
  </si>
  <si>
    <t>D</t>
  </si>
  <si>
    <t xml:space="preserve">TOTAL DIAS
</t>
  </si>
  <si>
    <t>L2</t>
  </si>
  <si>
    <t>M3</t>
  </si>
  <si>
    <t>X4</t>
  </si>
  <si>
    <t>J5</t>
  </si>
  <si>
    <t>V6</t>
  </si>
  <si>
    <t>S7</t>
  </si>
  <si>
    <t>D8</t>
  </si>
  <si>
    <t>TOTAL DIAS
2</t>
  </si>
  <si>
    <t>L10</t>
  </si>
  <si>
    <t>M11</t>
  </si>
  <si>
    <t>X12</t>
  </si>
  <si>
    <t>J13</t>
  </si>
  <si>
    <t>V14</t>
  </si>
  <si>
    <t>S15</t>
  </si>
  <si>
    <t>D16</t>
  </si>
  <si>
    <t>TOTAL DIAS
3</t>
  </si>
  <si>
    <t>L18</t>
  </si>
  <si>
    <t>M19</t>
  </si>
  <si>
    <t>M20</t>
  </si>
  <si>
    <t>J2</t>
  </si>
  <si>
    <t>V2</t>
  </si>
  <si>
    <t>S2</t>
  </si>
  <si>
    <t>D2</t>
  </si>
  <si>
    <t xml:space="preserve">TOTAL DIAS 
</t>
  </si>
  <si>
    <t>TOTAL FALLAS DEL MES</t>
  </si>
  <si>
    <t xml:space="preserve">TOTAL DE SEMANAS DEL MES 
</t>
  </si>
  <si>
    <t xml:space="preserve">DESCUENTO
</t>
  </si>
  <si>
    <t>TIPO DE CONTRATO</t>
  </si>
  <si>
    <t xml:space="preserve">TIPODE INDENTIFICACION </t>
  </si>
  <si>
    <t xml:space="preserve">EPS </t>
  </si>
  <si>
    <t>FONDOS SALUD</t>
  </si>
  <si>
    <t>CAJA DE COMPENSACIÓN</t>
  </si>
  <si>
    <t xml:space="preserve">FONDOS DE PENSIONES </t>
  </si>
  <si>
    <t xml:space="preserve">REGISTRO CIVIL </t>
  </si>
  <si>
    <t>ALFA</t>
  </si>
  <si>
    <t>ALIANSALUD</t>
  </si>
  <si>
    <t>CAFABA</t>
  </si>
  <si>
    <t>CAXDAC</t>
  </si>
  <si>
    <t>PORVENIR</t>
  </si>
  <si>
    <t>INDEFINIDO</t>
  </si>
  <si>
    <t>TARJETA DE IDENTIDAD</t>
  </si>
  <si>
    <t xml:space="preserve">FAMISANAR </t>
  </si>
  <si>
    <t>AMBUQ ARS</t>
  </si>
  <si>
    <t>OLD MUTUAL</t>
  </si>
  <si>
    <t>POR OBRA LABOR</t>
  </si>
  <si>
    <t>CAPITAL SALUD</t>
  </si>
  <si>
    <t>COLPATRIA ARP</t>
  </si>
  <si>
    <t>ANAS WAYUU</t>
  </si>
  <si>
    <t>CAFAMAZ</t>
  </si>
  <si>
    <t>OLD MUTUAL ALTERNATIVO</t>
  </si>
  <si>
    <t>COLFONDOS</t>
  </si>
  <si>
    <t>PRESTACIÓN DE SERVICIOS</t>
  </si>
  <si>
    <t>TARJETA EXTRANJERA</t>
  </si>
  <si>
    <t>COLSUBSIDIO</t>
  </si>
  <si>
    <t>COMPAÑÍA DE SEGUROS COLSANITAS S.A</t>
  </si>
  <si>
    <t>ARS  CONVIDA</t>
  </si>
  <si>
    <t>CAFASUR</t>
  </si>
  <si>
    <t>PENSIONES DE ANTIOQUIA</t>
  </si>
  <si>
    <t>SKANDIA</t>
  </si>
  <si>
    <t>APRENDIZAJE</t>
  </si>
  <si>
    <t xml:space="preserve">CEDULA DE EXTRANJERIA </t>
  </si>
  <si>
    <t>COMPENSAR</t>
  </si>
  <si>
    <t>LA EQUIDAD SEDUROS</t>
  </si>
  <si>
    <t>ASMET SALUD</t>
  </si>
  <si>
    <t>CAJAMAG</t>
  </si>
  <si>
    <t>Fondo Nacional del Ahorro (FNA):</t>
  </si>
  <si>
    <t>OCACIONAL</t>
  </si>
  <si>
    <t>NIT</t>
  </si>
  <si>
    <t>EPS SURA</t>
  </si>
  <si>
    <t>LIBERTY</t>
  </si>
  <si>
    <t>CAPITAL SALUD EPS</t>
  </si>
  <si>
    <t>CAJASAI</t>
  </si>
  <si>
    <t>PROTECCIONS.A</t>
  </si>
  <si>
    <t>PASAPORTE</t>
  </si>
  <si>
    <t>MAPFRE COLOMBIA VIDA SEGUROS S.A</t>
  </si>
  <si>
    <t>CAPRESOCA</t>
  </si>
  <si>
    <t>CAJASAN</t>
  </si>
  <si>
    <t xml:space="preserve">D.C.I EXTRANJERA </t>
  </si>
  <si>
    <t>SALUD TOTAL</t>
  </si>
  <si>
    <t>POSITIVA COMPAÑÍA DE SEGUROS</t>
  </si>
  <si>
    <t>CCF DE LA GUAJIRA</t>
  </si>
  <si>
    <t>CCF DE L A GUAJIRA</t>
  </si>
  <si>
    <t xml:space="preserve">FONPRECON </t>
  </si>
  <si>
    <t xml:space="preserve">PERMISO ESPECIAL  DE PERMANENCIA </t>
  </si>
  <si>
    <t>NUEVA EPS</t>
  </si>
  <si>
    <t>SEGUROS BOLIVAR</t>
  </si>
  <si>
    <t>CCF  DE NARIÑO</t>
  </si>
  <si>
    <t>CCF DE NARIÑO</t>
  </si>
  <si>
    <t>PPT</t>
  </si>
  <si>
    <t xml:space="preserve">SEGUROS DE RIESGOS LABORALES SURAMERICANA </t>
  </si>
  <si>
    <t>COFREM</t>
  </si>
  <si>
    <t>Columna2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</si>
</sst>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000_);[Red]\(#,000\)"/>
  </numFmts>
  <fonts count="4" x14ac:knownFonts="1">
    <font>
      <sz val="11"/>
      <color theme="1"/>
      <name val="Aptos Narrow"/>
      <charset val="134"/>
      <scheme val="minor"/>
    </font>
    <font>
      <b/>
      <sz val="11"/>
      <color theme="1"/>
      <name val="Aptos Narrow"/>
      <charset val="134"/>
      <scheme val="minor"/>
    </font>
    <font>
      <b/>
      <sz val="11"/>
      <color rgb="FFFF0000"/>
      <name val="Aptos Narrow"/>
      <charset val="134"/>
      <scheme val="minor"/>
    </font>
    <font>
      <b/>
      <sz val="11"/>
      <color theme="1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6" tint="0.799920651875362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6"/>
      </top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1" fillId="4" borderId="4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/>
    <xf numFmtId="0" fontId="2" fillId="4" borderId="1" xfId="0" applyFont="1" applyFill="1" applyBorder="1"/>
    <xf numFmtId="0" fontId="1" fillId="4" borderId="1" xfId="0" applyFont="1" applyFill="1" applyBorder="1" applyAlignment="1">
      <alignment wrapText="1"/>
    </xf>
    <xf numFmtId="0" fontId="1" fillId="4" borderId="5" xfId="0" applyFont="1" applyFill="1" applyBorder="1"/>
    <xf numFmtId="0" fontId="1" fillId="4" borderId="1" xfId="0" applyFont="1" applyFill="1" applyBorder="1" applyAlignment="1">
      <alignment vertical="top" wrapText="1"/>
    </xf>
    <xf numFmtId="0" fontId="1" fillId="3" borderId="1" xfId="0" applyFont="1" applyFill="1" applyBorder="1" applyAlignment="1">
      <alignment wrapText="1"/>
    </xf>
    <xf numFmtId="0" fontId="1" fillId="3" borderId="2" xfId="0" applyFont="1" applyFill="1" applyBorder="1" applyAlignment="1">
      <alignment vertical="center" wrapText="1"/>
    </xf>
    <xf numFmtId="0" fontId="1" fillId="0" borderId="4" xfId="0" applyFont="1" applyBorder="1"/>
    <xf numFmtId="164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5" borderId="4" xfId="0" applyFont="1" applyFill="1" applyBorder="1"/>
    <xf numFmtId="164" fontId="1" fillId="5" borderId="1" xfId="0" applyNumberFormat="1" applyFont="1" applyFill="1" applyBorder="1"/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/>
    <xf numFmtId="0" fontId="1" fillId="5" borderId="2" xfId="0" applyFont="1" applyFill="1" applyBorder="1"/>
    <xf numFmtId="0" fontId="1" fillId="0" borderId="2" xfId="0" applyFont="1" applyBorder="1" applyAlignment="1">
      <alignment vertical="center"/>
    </xf>
    <xf numFmtId="0" fontId="1" fillId="0" borderId="6" xfId="0" applyFont="1" applyBorder="1"/>
    <xf numFmtId="164" fontId="1" fillId="0" borderId="7" xfId="0" applyNumberFormat="1" applyFont="1" applyBorder="1"/>
    <xf numFmtId="0" fontId="1" fillId="0" borderId="7" xfId="0" applyFont="1" applyBorder="1" applyAlignment="1">
      <alignment horizontal="center"/>
    </xf>
    <xf numFmtId="0" fontId="1" fillId="0" borderId="7" xfId="0" applyFont="1" applyBorder="1"/>
    <xf numFmtId="0" fontId="1" fillId="0" borderId="8" xfId="0" applyFont="1" applyBorder="1"/>
    <xf numFmtId="0" fontId="1" fillId="4" borderId="9" xfId="0" applyFont="1" applyFill="1" applyBorder="1"/>
    <xf numFmtId="0" fontId="1" fillId="4" borderId="5" xfId="0" applyFont="1" applyFill="1" applyBorder="1" applyAlignment="1">
      <alignment wrapText="1"/>
    </xf>
    <xf numFmtId="0" fontId="1" fillId="4" borderId="10" xfId="0" applyFont="1" applyFill="1" applyBorder="1"/>
    <xf numFmtId="0" fontId="1" fillId="3" borderId="4" xfId="0" applyFont="1" applyFill="1" applyBorder="1"/>
    <xf numFmtId="0" fontId="1" fillId="3" borderId="6" xfId="0" applyFont="1" applyFill="1" applyBorder="1"/>
    <xf numFmtId="0" fontId="3" fillId="4" borderId="9" xfId="0" applyFont="1" applyFill="1" applyBorder="1"/>
    <xf numFmtId="0" fontId="3" fillId="4" borderId="5" xfId="0" applyFont="1" applyFill="1" applyBorder="1"/>
    <xf numFmtId="0" fontId="3" fillId="4" borderId="10" xfId="0" applyFont="1" applyFill="1" applyBorder="1"/>
    <xf numFmtId="0" fontId="3" fillId="3" borderId="4" xfId="0" applyFont="1" applyFill="1" applyBorder="1"/>
    <xf numFmtId="0" fontId="3" fillId="0" borderId="4" xfId="0" applyFont="1" applyBorder="1"/>
    <xf numFmtId="0" fontId="3" fillId="0" borderId="1" xfId="0" applyFont="1" applyBorder="1"/>
    <xf numFmtId="164" fontId="3" fillId="0" borderId="1" xfId="0" applyNumberFormat="1" applyFont="1" applyBorder="1"/>
    <xf numFmtId="0" fontId="3" fillId="0" borderId="2" xfId="0" applyFont="1" applyBorder="1"/>
    <xf numFmtId="0" fontId="3" fillId="5" borderId="4" xfId="0" applyFont="1" applyFill="1" applyBorder="1"/>
    <xf numFmtId="0" fontId="3" fillId="5" borderId="1" xfId="0" applyFont="1" applyFill="1" applyBorder="1"/>
    <xf numFmtId="164" fontId="3" fillId="5" borderId="1" xfId="0" applyNumberFormat="1" applyFont="1" applyFill="1" applyBorder="1"/>
    <xf numFmtId="0" fontId="3" fillId="5" borderId="2" xfId="0" applyFont="1" applyFill="1" applyBorder="1"/>
    <xf numFmtId="0" fontId="3" fillId="5" borderId="6" xfId="0" applyFont="1" applyFill="1" applyBorder="1"/>
    <xf numFmtId="0" fontId="3" fillId="5" borderId="7" xfId="0" applyFont="1" applyFill="1" applyBorder="1"/>
    <xf numFmtId="164" fontId="3" fillId="5" borderId="7" xfId="0" applyNumberFormat="1" applyFont="1" applyFill="1" applyBorder="1"/>
    <xf numFmtId="0" fontId="3" fillId="0" borderId="6" xfId="0" applyFont="1" applyBorder="1"/>
    <xf numFmtId="0" fontId="3" fillId="3" borderId="6" xfId="0" applyFont="1" applyFill="1" applyBorder="1"/>
    <xf numFmtId="0" fontId="3" fillId="0" borderId="7" xfId="0" applyFont="1" applyBorder="1"/>
    <xf numFmtId="164" fontId="3" fillId="0" borderId="7" xfId="0" applyNumberFormat="1" applyFont="1" applyBorder="1"/>
    <xf numFmtId="0" fontId="3" fillId="0" borderId="8" xfId="0" applyFont="1" applyBorder="1"/>
    <xf numFmtId="0" fontId="3" fillId="4" borderId="11" xfId="0" applyFont="1" applyFill="1" applyBorder="1"/>
    <xf numFmtId="0" fontId="3" fillId="6" borderId="1" xfId="0" applyFont="1" applyFill="1" applyBorder="1"/>
    <xf numFmtId="0" fontId="3" fillId="7" borderId="1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</cellXfs>
  <cellStyles count="1">
    <cellStyle name="Normal" xfId="0" builtinId="0"/>
  </cellStyles>
  <dxfs count="66">
    <dxf>
      <font>
        <b/>
        <family val="2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family val="2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numFmt numFmtId="164" formatCode="#,000_);[Red]\(#,000\)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family val="2"/>
      </font>
      <numFmt numFmtId="164" formatCode="#,000_);[Red]\(#,000\)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family val="2"/>
      </font>
      <fill>
        <patternFill patternType="solid">
          <bgColor rgb="FFFFFF00"/>
        </patternFill>
      </fill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border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164" formatCode="#,000_);[Red]\(#,000\)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border outline="0">
        <left/>
        <right style="thin">
          <color auto="1"/>
        </right>
        <top style="thin">
          <color auto="1"/>
        </top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fill>
        <patternFill patternType="solid">
          <bgColor rgb="FFFFFF00"/>
        </patternFill>
      </fill>
      <border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454025</xdr:colOff>
      <xdr:row>4</xdr:row>
      <xdr:rowOff>63500</xdr:rowOff>
    </xdr:from>
    <xdr:to>
      <xdr:col>12</xdr:col>
      <xdr:colOff>444500</xdr:colOff>
      <xdr:row>11</xdr:row>
      <xdr:rowOff>158750</xdr:rowOff>
    </xdr:to>
    <xdr:sp macro="" textlink="">
      <xdr:nvSpPr>
        <xdr:cNvPr id="4" name="Pergamino: horizont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997825" y="787400"/>
          <a:ext cx="2505075" cy="1362075"/>
        </a:xfrm>
        <a:prstGeom prst="horizontalScroll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  <a:latin typeface="Rockwell Extra Bold" panose="02060903040505020403" pitchFamily="18" charset="0"/>
            </a:rPr>
            <a:t>BASE DE DATOS</a:t>
          </a:r>
        </a:p>
      </xdr:txBody>
    </xdr:sp>
    <xdr:clientData/>
  </xdr:twoCellAnchor>
  <xdr:twoCellAnchor>
    <xdr:from>
      <xdr:col>12</xdr:col>
      <xdr:colOff>504825</xdr:colOff>
      <xdr:row>14</xdr:row>
      <xdr:rowOff>114300</xdr:rowOff>
    </xdr:from>
    <xdr:to>
      <xdr:col>15</xdr:col>
      <xdr:colOff>495300</xdr:colOff>
      <xdr:row>22</xdr:row>
      <xdr:rowOff>19050</xdr:rowOff>
    </xdr:to>
    <xdr:sp macro="" textlink="">
      <xdr:nvSpPr>
        <xdr:cNvPr id="5" name="Pergamino: horizont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563225" y="2647950"/>
          <a:ext cx="2505075" cy="1352550"/>
        </a:xfrm>
        <a:prstGeom prst="horizontalScroll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  <a:latin typeface="Rockwell Extra Bold" panose="02060903040505020403" pitchFamily="18" charset="0"/>
            </a:rPr>
            <a:t>LISTA DE FALLAS </a:t>
          </a:r>
        </a:p>
      </xdr:txBody>
    </xdr:sp>
    <xdr:clientData/>
  </xdr:twoCellAnchor>
  <xdr:twoCellAnchor>
    <xdr:from>
      <xdr:col>16</xdr:col>
      <xdr:colOff>6350</xdr:colOff>
      <xdr:row>4</xdr:row>
      <xdr:rowOff>50800</xdr:rowOff>
    </xdr:from>
    <xdr:to>
      <xdr:col>18</xdr:col>
      <xdr:colOff>835025</xdr:colOff>
      <xdr:row>11</xdr:row>
      <xdr:rowOff>136525</xdr:rowOff>
    </xdr:to>
    <xdr:sp macro="" textlink="">
      <xdr:nvSpPr>
        <xdr:cNvPr id="6" name="Pergamino: horizont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417550" y="774700"/>
          <a:ext cx="2505075" cy="1352550"/>
        </a:xfrm>
        <a:prstGeom prst="horizontalScroll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  <a:latin typeface="Rockwell Extra Bold" panose="02060903040505020403" pitchFamily="18" charset="0"/>
            </a:rPr>
            <a:t>NOVEDADES</a:t>
          </a:r>
        </a:p>
      </xdr:txBody>
    </xdr:sp>
    <xdr:clientData/>
  </xdr:twoCellAnchor>
  <xdr:twoCellAnchor editAs="oneCell">
    <xdr:from>
      <xdr:col>16</xdr:col>
      <xdr:colOff>130175</xdr:colOff>
      <xdr:row>26</xdr:row>
      <xdr:rowOff>22225</xdr:rowOff>
    </xdr:from>
    <xdr:to>
      <xdr:col>19</xdr:col>
      <xdr:colOff>133441</xdr:colOff>
      <xdr:row>33</xdr:row>
      <xdr:rowOff>120636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41375" y="4727575"/>
          <a:ext cx="2517775" cy="1364615"/>
        </a:xfrm>
        <a:prstGeom prst="rect">
          <a:avLst/>
        </a:prstGeom>
      </xdr:spPr>
    </xdr:pic>
    <xdr:clientData/>
  </xdr:twoCellAnchor>
  <xdr:twoCellAnchor editAs="oneCell">
    <xdr:from>
      <xdr:col>9</xdr:col>
      <xdr:colOff>384175</xdr:colOff>
      <xdr:row>26</xdr:row>
      <xdr:rowOff>155575</xdr:rowOff>
    </xdr:from>
    <xdr:to>
      <xdr:col>12</xdr:col>
      <xdr:colOff>387441</xdr:colOff>
      <xdr:row>34</xdr:row>
      <xdr:rowOff>82536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7975" y="4860925"/>
          <a:ext cx="2517775" cy="13741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171087</xdr:colOff>
      <xdr:row>1</xdr:row>
      <xdr:rowOff>68036</xdr:rowOff>
    </xdr:from>
    <xdr:to>
      <xdr:col>22</xdr:col>
      <xdr:colOff>801007</xdr:colOff>
      <xdr:row>4</xdr:row>
      <xdr:rowOff>90896</xdr:rowOff>
    </xdr:to>
    <xdr:sp macro="" textlink="">
      <xdr:nvSpPr>
        <xdr:cNvPr id="3" name="Rectángulo con esquinas redondeada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79873" y="244929"/>
          <a:ext cx="2317205" cy="55353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MX" altLang="en-US" sz="1600" b="1">
              <a:solidFill>
                <a:schemeClr val="tx1">
                  <a:lumMod val="95000"/>
                  <a:lumOff val="5000"/>
                </a:schemeClr>
              </a:solidFill>
            </a:rPr>
            <a:t>EDITAR</a:t>
          </a:r>
        </a:p>
      </xdr:txBody>
    </xdr:sp>
    <xdr:clientData/>
  </xdr:twoCellAnchor>
  <xdr:twoCellAnchor>
    <xdr:from>
      <xdr:col>18</xdr:col>
      <xdr:colOff>74748</xdr:colOff>
      <xdr:row>1</xdr:row>
      <xdr:rowOff>68036</xdr:rowOff>
    </xdr:from>
    <xdr:to>
      <xdr:col>19</xdr:col>
      <xdr:colOff>1018993</xdr:colOff>
      <xdr:row>4</xdr:row>
      <xdr:rowOff>125730</xdr:rowOff>
    </xdr:to>
    <xdr:sp macro="" textlink="">
      <xdr:nvSpPr>
        <xdr:cNvPr id="4" name="Rectángulo con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730141" y="244929"/>
          <a:ext cx="2304959" cy="58837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s-MX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MX" altLang="en-US" sz="1600" b="1">
              <a:solidFill>
                <a:schemeClr val="tx1"/>
              </a:solidFill>
            </a:rPr>
            <a:t>BUSCAR</a:t>
          </a:r>
        </a:p>
      </xdr:txBody>
    </xdr:sp>
    <xdr:clientData/>
  </xdr:twoCellAnchor>
  <xdr:twoCellAnchor>
    <xdr:from>
      <xdr:col>22</xdr:col>
      <xdr:colOff>1124222</xdr:colOff>
      <xdr:row>1</xdr:row>
      <xdr:rowOff>81643</xdr:rowOff>
    </xdr:from>
    <xdr:to>
      <xdr:col>24</xdr:col>
      <xdr:colOff>77742</xdr:colOff>
      <xdr:row>4</xdr:row>
      <xdr:rowOff>98516</xdr:rowOff>
    </xdr:to>
    <xdr:sp macro="" textlink="">
      <xdr:nvSpPr>
        <xdr:cNvPr id="5" name="Rectángulo con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120293" y="258536"/>
          <a:ext cx="2300878" cy="54755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s-MX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MX" altLang="en-US" sz="1600" b="1">
              <a:solidFill>
                <a:schemeClr val="tx1"/>
              </a:solidFill>
            </a:rPr>
            <a:t>ELIMINAR</a:t>
          </a:r>
        </a:p>
      </xdr:txBody>
    </xdr:sp>
    <xdr:clientData/>
  </xdr:twoCellAnchor>
  <xdr:twoCellAnchor>
    <xdr:from>
      <xdr:col>15</xdr:col>
      <xdr:colOff>394879</xdr:colOff>
      <xdr:row>1</xdr:row>
      <xdr:rowOff>108857</xdr:rowOff>
    </xdr:from>
    <xdr:to>
      <xdr:col>17</xdr:col>
      <xdr:colOff>1024799</xdr:colOff>
      <xdr:row>4</xdr:row>
      <xdr:rowOff>125820</xdr:rowOff>
    </xdr:to>
    <xdr:sp macro="[0]!Módulo1.prueba" textlink="">
      <xdr:nvSpPr>
        <xdr:cNvPr id="6" name="Rectángulo con esquinas redondeada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6002272" y="285750"/>
          <a:ext cx="2317206" cy="54764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s-MX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MX" altLang="en-US" sz="1600">
              <a:ln w="12700" cmpd="sng">
                <a:solidFill>
                  <a:schemeClr val="accent1">
                    <a:shade val="50000"/>
                  </a:schemeClr>
                </a:solidFill>
                <a:prstDash val="solid"/>
              </a:ln>
              <a:solidFill>
                <a:schemeClr val="tx1">
                  <a:lumMod val="95000"/>
                  <a:lumOff val="5000"/>
                  <a:alpha val="17000"/>
                </a:schemeClr>
              </a:solidFill>
            </a:rPr>
            <a:t>AGREGAR</a:t>
          </a:r>
        </a:p>
      </xdr:txBody>
    </xdr:sp>
    <xdr:clientData/>
  </xdr:twoCellAnchor>
  <xdr:twoCellAnchor editAs="oneCell">
    <xdr:from>
      <xdr:col>6</xdr:col>
      <xdr:colOff>0</xdr:colOff>
      <xdr:row>31</xdr:row>
      <xdr:rowOff>0</xdr:rowOff>
    </xdr:from>
    <xdr:to>
      <xdr:col>6</xdr:col>
      <xdr:colOff>914400</xdr:colOff>
      <xdr:row>36</xdr:row>
      <xdr:rowOff>2722</xdr:rowOff>
    </xdr:to>
    <xdr:pic>
      <xdr:nvPicPr>
        <xdr:cNvPr id="7" name="Gráfico 6" descr="Follow con relleno sólido">
          <a:extLst>
            <a:ext uri="{FF2B5EF4-FFF2-40B4-BE49-F238E27FC236}">
              <a16:creationId xmlns:a16="http://schemas.microsoft.com/office/drawing/2014/main" id="{B0BF45E8-B8D1-741A-F280-C45202785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92536" y="58102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15</xdr:col>
      <xdr:colOff>598714</xdr:colOff>
      <xdr:row>1</xdr:row>
      <xdr:rowOff>136072</xdr:rowOff>
    </xdr:from>
    <xdr:to>
      <xdr:col>16</xdr:col>
      <xdr:colOff>176892</xdr:colOff>
      <xdr:row>3</xdr:row>
      <xdr:rowOff>176893</xdr:rowOff>
    </xdr:to>
    <xdr:pic>
      <xdr:nvPicPr>
        <xdr:cNvPr id="9" name="Gráfico 8" descr="Follow con relleno sólido">
          <a:extLst>
            <a:ext uri="{FF2B5EF4-FFF2-40B4-BE49-F238E27FC236}">
              <a16:creationId xmlns:a16="http://schemas.microsoft.com/office/drawing/2014/main" id="{8AA1A589-CAD8-ECBB-74F8-0802F7CB4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206107" y="312965"/>
          <a:ext cx="421821" cy="421821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285750</xdr:colOff>
      <xdr:row>1</xdr:row>
      <xdr:rowOff>122464</xdr:rowOff>
    </xdr:from>
    <xdr:to>
      <xdr:col>18</xdr:col>
      <xdr:colOff>816427</xdr:colOff>
      <xdr:row>4</xdr:row>
      <xdr:rowOff>22679</xdr:rowOff>
    </xdr:to>
    <xdr:pic>
      <xdr:nvPicPr>
        <xdr:cNvPr id="11" name="Gráfico 10" descr="Magnifying glass con relleno sólido">
          <a:extLst>
            <a:ext uri="{FF2B5EF4-FFF2-40B4-BE49-F238E27FC236}">
              <a16:creationId xmlns:a16="http://schemas.microsoft.com/office/drawing/2014/main" id="{F8718773-086E-C1E7-9C55-5F2632CC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41143" y="299357"/>
          <a:ext cx="530677" cy="471715"/>
        </a:xfrm>
        <a:prstGeom prst="rect">
          <a:avLst/>
        </a:prstGeom>
      </xdr:spPr>
    </xdr:pic>
    <xdr:clientData/>
  </xdr:twoCellAnchor>
  <xdr:twoCellAnchor editAs="oneCell">
    <xdr:from>
      <xdr:col>20</xdr:col>
      <xdr:colOff>344259</xdr:colOff>
      <xdr:row>1</xdr:row>
      <xdr:rowOff>108857</xdr:rowOff>
    </xdr:from>
    <xdr:to>
      <xdr:col>20</xdr:col>
      <xdr:colOff>834116</xdr:colOff>
      <xdr:row>4</xdr:row>
      <xdr:rowOff>27214</xdr:rowOff>
    </xdr:to>
    <xdr:pic>
      <xdr:nvPicPr>
        <xdr:cNvPr id="13" name="Gráfico 12" descr="Eraser con relleno sólido">
          <a:extLst>
            <a:ext uri="{FF2B5EF4-FFF2-40B4-BE49-F238E27FC236}">
              <a16:creationId xmlns:a16="http://schemas.microsoft.com/office/drawing/2014/main" id="{F8825827-36E7-4AED-3A9B-F1CED9B99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653045" y="285750"/>
          <a:ext cx="499382" cy="489857"/>
        </a:xfrm>
        <a:prstGeom prst="rect">
          <a:avLst/>
        </a:prstGeom>
      </xdr:spPr>
    </xdr:pic>
    <xdr:clientData/>
  </xdr:twoCellAnchor>
  <xdr:twoCellAnchor editAs="oneCell">
    <xdr:from>
      <xdr:col>22</xdr:col>
      <xdr:colOff>1279071</xdr:colOff>
      <xdr:row>1</xdr:row>
      <xdr:rowOff>122464</xdr:rowOff>
    </xdr:from>
    <xdr:to>
      <xdr:col>22</xdr:col>
      <xdr:colOff>1768928</xdr:colOff>
      <xdr:row>4</xdr:row>
      <xdr:rowOff>40821</xdr:rowOff>
    </xdr:to>
    <xdr:pic>
      <xdr:nvPicPr>
        <xdr:cNvPr id="15" name="Gráfico 14" descr="Close con relleno sólido">
          <a:extLst>
            <a:ext uri="{FF2B5EF4-FFF2-40B4-BE49-F238E27FC236}">
              <a16:creationId xmlns:a16="http://schemas.microsoft.com/office/drawing/2014/main" id="{30FD8C05-2007-C00D-ED4C-CA4C1DCE9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4275142" y="299357"/>
          <a:ext cx="489857" cy="4898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66675</xdr:colOff>
      <xdr:row>0</xdr:row>
      <xdr:rowOff>0</xdr:rowOff>
    </xdr:from>
    <xdr:to>
      <xdr:col>13</xdr:col>
      <xdr:colOff>381000</xdr:colOff>
      <xdr:row>52</xdr:row>
      <xdr:rowOff>35219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0"/>
          <a:ext cx="3667125" cy="5673725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LIENTES" displayName="CLIENTES" ref="B6:Y29" totalsRowShown="0" headerRowDxfId="65" dataDxfId="64">
  <autoFilter ref="B6:Y29" xr:uid="{00000000-0009-0000-0100-000003000000}"/>
  <tableColumns count="24">
    <tableColumn id="1" xr3:uid="{00000000-0010-0000-0000-000001000000}" name="ITEM" dataDxfId="63"/>
    <tableColumn id="2" xr3:uid="{00000000-0010-0000-0000-000002000000}" name="CODIGO" dataDxfId="62"/>
    <tableColumn id="3" xr3:uid="{00000000-0010-0000-0000-000003000000}" name="APELLIDOS " dataDxfId="61"/>
    <tableColumn id="4" xr3:uid="{00000000-0010-0000-0000-000004000000}" name="NOMBRE" dataDxfId="60"/>
    <tableColumn id="5" xr3:uid="{00000000-0010-0000-0000-000005000000}" name="TIPO DC." dataDxfId="59"/>
    <tableColumn id="6" xr3:uid="{00000000-0010-0000-0000-000006000000}" name="N°  IDENTIFICACIÓN" dataDxfId="58"/>
    <tableColumn id="20" xr3:uid="{00000000-0010-0000-0000-000014000000}" name="FECHA DE NACIMIENTO " dataDxfId="57"/>
    <tableColumn id="16" xr3:uid="{00000000-0010-0000-0000-000010000000}" name="EDAD" dataDxfId="56"/>
    <tableColumn id="17" xr3:uid="{00000000-0010-0000-0000-000011000000}" name="SEXO" dataDxfId="55"/>
    <tableColumn id="18" xr3:uid="{00000000-0010-0000-0000-000012000000}" name="TELEFONO" dataDxfId="54"/>
    <tableColumn id="19" xr3:uid="{00000000-0010-0000-0000-000013000000}" name="CORREO" dataDxfId="53"/>
    <tableColumn id="21" xr3:uid="{00000000-0010-0000-0000-000015000000}" name="Columna2" dataDxfId="52"/>
    <tableColumn id="22" xr3:uid="{00000000-0010-0000-0000-000016000000}" name="CIUDAD" dataDxfId="51"/>
    <tableColumn id="23" xr3:uid="{00000000-0010-0000-0000-000017000000}" name="DIRECCIÓN" dataDxfId="50"/>
    <tableColumn id="24" xr3:uid="{00000000-0010-0000-0000-000018000000}" name="IMAGEN" dataDxfId="49"/>
    <tableColumn id="7" xr3:uid="{00000000-0010-0000-0000-000007000000}" name="CARGO" dataDxfId="48"/>
    <tableColumn id="15" xr3:uid="{00000000-0010-0000-0000-00000F000000}" name="Columna1" dataDxfId="47"/>
    <tableColumn id="8" xr3:uid="{00000000-0010-0000-0000-000008000000}" name=" SUELDO BASICO " dataDxfId="46"/>
    <tableColumn id="9" xr3:uid="{00000000-0010-0000-0000-000009000000}" name="TIPO CONTRATO " dataDxfId="45"/>
    <tableColumn id="10" xr3:uid="{00000000-0010-0000-0000-00000A000000}" name="ARL" dataDxfId="44"/>
    <tableColumn id="11" xr3:uid="{00000000-0010-0000-0000-00000B000000}" name="EPS" dataDxfId="43"/>
    <tableColumn id="12" xr3:uid="{00000000-0010-0000-0000-00000C000000}" name="CAJA DE COMPENSACION " dataDxfId="42"/>
    <tableColumn id="13" xr3:uid="{00000000-0010-0000-0000-00000D000000}" name="FONDO DE PENSION " dataDxfId="41"/>
    <tableColumn id="14" xr3:uid="{00000000-0010-0000-0000-00000E000000}" name="CESANTIAS" dataDxfId="40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B3:H26" totalsRowShown="0">
  <autoFilter ref="B3:H26" xr:uid="{00000000-0009-0000-0100-000004000000}">
    <filterColumn colId="0">
      <filters>
        <filter val="22"/>
      </filters>
    </filterColumn>
  </autoFilter>
  <tableColumns count="7">
    <tableColumn id="1" xr3:uid="{00000000-0010-0000-0100-000001000000}" name="ITEM" dataDxfId="39"/>
    <tableColumn id="2" xr3:uid="{00000000-0010-0000-0100-000002000000}" name="CODIGO" dataDxfId="38"/>
    <tableColumn id="3" xr3:uid="{00000000-0010-0000-0100-000003000000}" name="NOMBRES Y APELLIDOS" dataDxfId="37"/>
    <tableColumn id="4" xr3:uid="{00000000-0010-0000-0100-000004000000}" name="N°DE CEDULA" dataDxfId="36"/>
    <tableColumn id="5" xr3:uid="{00000000-0010-0000-0100-000005000000}" name="CARGO" dataDxfId="35"/>
    <tableColumn id="6" xr3:uid="{00000000-0010-0000-0100-000006000000}" name="SUELDO PACTADO" dataDxfId="34"/>
    <tableColumn id="7" xr3:uid="{00000000-0010-0000-0100-000007000000}" name="DIAS LABORADOS" dataDxfId="33">
      <calculatedColumnFormula>'LISTA DE FALLAS'!AK4</calculatedColumnFormula>
    </tableColumn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a7" displayName="Tabla7" ref="B3:AL26" totalsRowShown="0">
  <autoFilter ref="B3:AL26" xr:uid="{00000000-0009-0000-0100-000007000000}"/>
  <tableColumns count="37">
    <tableColumn id="1" xr3:uid="{00000000-0010-0000-0200-000001000000}" name="NOMBRES Y APELLIDOS _x000a_" dataDxfId="32"/>
    <tableColumn id="2" xr3:uid="{00000000-0010-0000-0200-000002000000}" name="SUELDO PACTADO_x000a_" dataDxfId="31"/>
    <tableColumn id="3" xr3:uid="{00000000-0010-0000-0200-000003000000}" name="L" dataDxfId="30"/>
    <tableColumn id="4" xr3:uid="{00000000-0010-0000-0200-000004000000}" name="M" dataDxfId="29"/>
    <tableColumn id="5" xr3:uid="{00000000-0010-0000-0200-000005000000}" name="X" dataDxfId="28"/>
    <tableColumn id="6" xr3:uid="{00000000-0010-0000-0200-000006000000}" name="J" dataDxfId="27"/>
    <tableColumn id="7" xr3:uid="{00000000-0010-0000-0200-000007000000}" name="V" dataDxfId="26"/>
    <tableColumn id="8" xr3:uid="{00000000-0010-0000-0200-000008000000}" name="S" dataDxfId="25"/>
    <tableColumn id="9" xr3:uid="{00000000-0010-0000-0200-000009000000}" name="D" dataDxfId="24"/>
    <tableColumn id="10" xr3:uid="{00000000-0010-0000-0200-00000A000000}" name="TOTAL DIAS_x000a_" dataDxfId="23">
      <calculatedColumnFormula>D4+E4+F4+G4+H4+I4</calculatedColumnFormula>
    </tableColumn>
    <tableColumn id="12" xr3:uid="{00000000-0010-0000-0200-00000C000000}" name="L2" dataDxfId="22"/>
    <tableColumn id="13" xr3:uid="{00000000-0010-0000-0200-00000D000000}" name="M3" dataDxfId="21"/>
    <tableColumn id="14" xr3:uid="{00000000-0010-0000-0200-00000E000000}" name="X4" dataDxfId="20"/>
    <tableColumn id="15" xr3:uid="{00000000-0010-0000-0200-00000F000000}" name="J5" dataDxfId="19"/>
    <tableColumn id="16" xr3:uid="{00000000-0010-0000-0200-000010000000}" name="V6" dataDxfId="18"/>
    <tableColumn id="17" xr3:uid="{00000000-0010-0000-0200-000011000000}" name="S7" dataDxfId="17"/>
    <tableColumn id="18" xr3:uid="{00000000-0010-0000-0200-000012000000}" name="D8" dataDxfId="16"/>
    <tableColumn id="19" xr3:uid="{00000000-0010-0000-0200-000013000000}" name="TOTAL DIAS_x000a_2" dataDxfId="15">
      <calculatedColumnFormula>L4+M4+N4+O4+P4+Q4</calculatedColumnFormula>
    </tableColumn>
    <tableColumn id="21" xr3:uid="{00000000-0010-0000-0200-000015000000}" name="L10" dataDxfId="14"/>
    <tableColumn id="22" xr3:uid="{00000000-0010-0000-0200-000016000000}" name="M11" dataDxfId="13"/>
    <tableColumn id="23" xr3:uid="{00000000-0010-0000-0200-000017000000}" name="X12" dataDxfId="12"/>
    <tableColumn id="24" xr3:uid="{00000000-0010-0000-0200-000018000000}" name="J13" dataDxfId="11"/>
    <tableColumn id="25" xr3:uid="{00000000-0010-0000-0200-000019000000}" name="V14" dataDxfId="10"/>
    <tableColumn id="26" xr3:uid="{00000000-0010-0000-0200-00001A000000}" name="S15" dataDxfId="9"/>
    <tableColumn id="27" xr3:uid="{00000000-0010-0000-0200-00001B000000}" name="D16" dataDxfId="8"/>
    <tableColumn id="28" xr3:uid="{00000000-0010-0000-0200-00001C000000}" name="TOTAL DIAS_x000a_3" dataDxfId="7">
      <calculatedColumnFormula>T4+U4+V4+W4+X4+Y4</calculatedColumnFormula>
    </tableColumn>
    <tableColumn id="30" xr3:uid="{00000000-0010-0000-0200-00001E000000}" name="L18" dataDxfId="6"/>
    <tableColumn id="31" xr3:uid="{00000000-0010-0000-0200-00001F000000}" name="M19" dataDxfId="5"/>
    <tableColumn id="11" xr3:uid="{00000000-0010-0000-0200-00000B000000}" name="M20"/>
    <tableColumn id="20" xr3:uid="{00000000-0010-0000-0200-000014000000}" name="J2"/>
    <tableColumn id="32" xr3:uid="{00000000-0010-0000-0200-000020000000}" name="V2" dataDxfId="4"/>
    <tableColumn id="29" xr3:uid="{00000000-0010-0000-0200-00001D000000}" name="S2"/>
    <tableColumn id="37" xr3:uid="{00000000-0010-0000-0200-000025000000}" name="D2"/>
    <tableColumn id="33" xr3:uid="{00000000-0010-0000-0200-000021000000}" name="TOTAL DIAS _x000a_" dataDxfId="3">
      <calculatedColumnFormula>AB4+AC4+AF4</calculatedColumnFormula>
    </tableColumn>
    <tableColumn id="34" xr3:uid="{00000000-0010-0000-0200-000022000000}" name="TOTAL FALLAS DEL MES" dataDxfId="2">
      <calculatedColumnFormula>K4+S4+AA4+AI4</calculatedColumnFormula>
    </tableColumn>
    <tableColumn id="35" xr3:uid="{00000000-0010-0000-0200-000023000000}" name="TOTAL DE SEMANAS DEL MES _x000a_" dataDxfId="1">
      <calculatedColumnFormula>SUM(#REF!+#REF!+#REF!)</calculatedColumnFormula>
    </tableColumn>
    <tableColumn id="36" xr3:uid="{00000000-0010-0000-0200-000024000000}" name="DESCUENTO_x000a_" dataDxfId="0">
      <calculatedColumnFormula>C4/30*AJ4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ombra extrema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48000">
              <a:schemeClr val="phClr">
                <a:tint val="54000"/>
                <a:satMod val="140000"/>
              </a:schemeClr>
            </a:gs>
            <a:gs pos="100000">
              <a:schemeClr val="phClr">
                <a:tint val="24000"/>
                <a:satMod val="260000"/>
              </a:schemeClr>
            </a:gs>
          </a:gsLst>
          <a:lin ang="1620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48000"/>
                <a:satMod val="180000"/>
                <a:lumMod val="94000"/>
              </a:schemeClr>
            </a:gs>
            <a:gs pos="100000">
              <a:schemeClr val="phClr">
                <a:shade val="48000"/>
                <a:satMod val="180000"/>
                <a:lumMod val="94000"/>
              </a:schemeClr>
            </a:gs>
          </a:gsLst>
          <a:lin ang="4140000" scaled="1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12700" dir="5400000" sx="102000" sy="102000" rotWithShape="0">
              <a:srgbClr val="000000">
                <a:alpha val="32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9800000"/>
            </a:lightRig>
          </a:scene3d>
          <a:sp3d prstMaterial="plastic">
            <a:bevelT w="25400" h="19050"/>
          </a:sp3d>
        </a:effectStyle>
        <a:effectStyle>
          <a:effectLst>
            <a:outerShdw blurRad="114300" dist="1143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image" Target="../media/image11.jpeg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showGridLines="0" zoomScale="60" zoomScaleNormal="60" workbookViewId="0">
      <selection activeCell="O20" sqref="O20"/>
    </sheetView>
  </sheetViews>
  <sheetFormatPr baseColWidth="10" defaultColWidth="11" defaultRowHeight="13.5" x14ac:dyDescent="0.15"/>
  <sheetData/>
  <pageMargins left="0.7" right="0.7" top="0.75" bottom="0.75" header="0.3" footer="0.3"/>
  <pageSetup paperSize="9" scale="26" orientation="portrait"/>
  <colBreaks count="1" manualBreakCount="1">
    <brk id="31" max="67" man="1"/>
  </colBreaks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Y33"/>
  <sheetViews>
    <sheetView showGridLines="0" tabSelected="1" topLeftCell="I1" zoomScale="70" zoomScaleNormal="70" workbookViewId="0">
      <selection activeCell="O14" sqref="O14"/>
    </sheetView>
  </sheetViews>
  <sheetFormatPr baseColWidth="10" defaultColWidth="11" defaultRowHeight="13.5" x14ac:dyDescent="0.15"/>
  <cols>
    <col min="2" max="2" width="6.875" customWidth="1"/>
    <col min="4" max="4" width="12.875" customWidth="1"/>
    <col min="5" max="5" width="20.375" customWidth="1"/>
    <col min="7" max="7" width="21.875" customWidth="1"/>
    <col min="8" max="8" width="25.125" customWidth="1"/>
    <col min="13" max="13" width="17.875" customWidth="1"/>
    <col min="18" max="19" width="17.875" customWidth="1"/>
    <col min="20" max="20" width="16.875" customWidth="1"/>
    <col min="23" max="23" width="24.125" customWidth="1"/>
    <col min="24" max="24" width="19.875" customWidth="1"/>
    <col min="25" max="25" width="11.875" customWidth="1"/>
  </cols>
  <sheetData>
    <row r="1" spans="2:25" ht="15" x14ac:dyDescent="0.25">
      <c r="N1" s="55"/>
    </row>
    <row r="2" spans="2:25" ht="15" x14ac:dyDescent="0.25">
      <c r="M2" s="55"/>
    </row>
    <row r="3" spans="2:25" ht="15" x14ac:dyDescent="0.25">
      <c r="M3" s="44"/>
    </row>
    <row r="4" spans="2:25" ht="15" x14ac:dyDescent="0.25">
      <c r="M4" s="44" t="s">
        <v>27</v>
      </c>
    </row>
    <row r="6" spans="2:25" ht="15" x14ac:dyDescent="0.25">
      <c r="B6" s="35" t="s">
        <v>0</v>
      </c>
      <c r="C6" s="35" t="s">
        <v>1</v>
      </c>
      <c r="D6" s="36" t="s">
        <v>2</v>
      </c>
      <c r="E6" s="36" t="s">
        <v>3</v>
      </c>
      <c r="F6" s="36" t="s">
        <v>4</v>
      </c>
      <c r="G6" s="36" t="s">
        <v>5</v>
      </c>
      <c r="H6" s="36" t="s">
        <v>6</v>
      </c>
      <c r="I6" s="36" t="s">
        <v>7</v>
      </c>
      <c r="J6" s="36" t="s">
        <v>8</v>
      </c>
      <c r="K6" s="36" t="s">
        <v>9</v>
      </c>
      <c r="L6" s="36" t="s">
        <v>10</v>
      </c>
      <c r="M6" s="55" t="s">
        <v>251</v>
      </c>
      <c r="N6" s="55" t="s">
        <v>11</v>
      </c>
      <c r="O6" s="36" t="s">
        <v>12</v>
      </c>
      <c r="P6" s="36" t="s">
        <v>13</v>
      </c>
      <c r="Q6" s="36" t="s">
        <v>14</v>
      </c>
      <c r="R6" s="36" t="s">
        <v>15</v>
      </c>
      <c r="S6" s="36" t="s">
        <v>16</v>
      </c>
      <c r="T6" s="36" t="s">
        <v>17</v>
      </c>
      <c r="U6" s="36" t="s">
        <v>18</v>
      </c>
      <c r="V6" s="36" t="s">
        <v>19</v>
      </c>
      <c r="W6" s="36" t="s">
        <v>20</v>
      </c>
      <c r="X6" s="36" t="s">
        <v>21</v>
      </c>
      <c r="Y6" s="37" t="s">
        <v>22</v>
      </c>
    </row>
    <row r="7" spans="2:25" ht="15" x14ac:dyDescent="0.25">
      <c r="B7" s="38">
        <v>1</v>
      </c>
      <c r="C7" s="39" t="s">
        <v>23</v>
      </c>
      <c r="D7" s="40" t="s">
        <v>24</v>
      </c>
      <c r="E7" s="40" t="s">
        <v>25</v>
      </c>
      <c r="F7" s="40" t="s">
        <v>26</v>
      </c>
      <c r="G7" s="40">
        <v>1234567823</v>
      </c>
      <c r="H7" s="40"/>
      <c r="I7" s="40"/>
      <c r="J7" s="40"/>
      <c r="K7" s="40"/>
      <c r="L7" s="40"/>
      <c r="M7" s="56"/>
      <c r="N7" s="56"/>
      <c r="O7" s="40"/>
      <c r="P7" s="40"/>
      <c r="Q7" s="40" t="s">
        <v>27</v>
      </c>
      <c r="R7" s="41"/>
      <c r="S7" s="41">
        <v>5000000</v>
      </c>
      <c r="T7" s="40" t="s">
        <v>28</v>
      </c>
      <c r="U7" s="40" t="s">
        <v>29</v>
      </c>
      <c r="V7" s="40" t="s">
        <v>30</v>
      </c>
      <c r="W7" s="40" t="s">
        <v>31</v>
      </c>
      <c r="X7" s="40" t="s">
        <v>32</v>
      </c>
      <c r="Y7" s="42" t="s">
        <v>33</v>
      </c>
    </row>
    <row r="8" spans="2:25" ht="15" x14ac:dyDescent="0.25">
      <c r="B8" s="38">
        <v>2</v>
      </c>
      <c r="C8" s="43" t="s">
        <v>34</v>
      </c>
      <c r="D8" s="44" t="s">
        <v>35</v>
      </c>
      <c r="E8" s="44" t="s">
        <v>36</v>
      </c>
      <c r="F8" s="44" t="s">
        <v>26</v>
      </c>
      <c r="G8" s="44">
        <v>1634561234</v>
      </c>
      <c r="H8" s="44"/>
      <c r="I8" s="44"/>
      <c r="J8" s="44"/>
      <c r="K8" s="44"/>
      <c r="L8" s="44"/>
      <c r="M8" s="44"/>
      <c r="N8" s="44"/>
      <c r="O8" s="44"/>
      <c r="P8" s="44"/>
      <c r="Q8" s="44" t="s">
        <v>37</v>
      </c>
      <c r="R8" s="45"/>
      <c r="S8" s="45">
        <v>4000000</v>
      </c>
      <c r="T8" s="44" t="s">
        <v>28</v>
      </c>
      <c r="U8" s="44" t="s">
        <v>29</v>
      </c>
      <c r="V8" s="44" t="s">
        <v>30</v>
      </c>
      <c r="W8" s="44" t="s">
        <v>31</v>
      </c>
      <c r="X8" s="44" t="s">
        <v>32</v>
      </c>
      <c r="Y8" s="46" t="s">
        <v>33</v>
      </c>
    </row>
    <row r="9" spans="2:25" ht="15" x14ac:dyDescent="0.25">
      <c r="B9" s="38">
        <v>3</v>
      </c>
      <c r="C9" s="39" t="s">
        <v>38</v>
      </c>
      <c r="D9" s="40" t="s">
        <v>24</v>
      </c>
      <c r="E9" s="40" t="s">
        <v>39</v>
      </c>
      <c r="F9" s="40" t="s">
        <v>26</v>
      </c>
      <c r="G9" s="40">
        <v>1274256789</v>
      </c>
      <c r="H9" s="40"/>
      <c r="I9" s="40"/>
      <c r="J9" s="40"/>
      <c r="K9" s="40"/>
      <c r="L9" s="57"/>
      <c r="M9" s="57"/>
      <c r="N9" s="57"/>
      <c r="O9" s="40"/>
      <c r="P9" s="40"/>
      <c r="Q9" s="40" t="s">
        <v>40</v>
      </c>
      <c r="R9" s="41"/>
      <c r="S9" s="41">
        <v>3000000</v>
      </c>
      <c r="T9" s="40" t="s">
        <v>28</v>
      </c>
      <c r="U9" s="40" t="s">
        <v>29</v>
      </c>
      <c r="V9" s="40" t="s">
        <v>30</v>
      </c>
      <c r="W9" s="40" t="s">
        <v>31</v>
      </c>
      <c r="X9" s="40" t="s">
        <v>32</v>
      </c>
      <c r="Y9" s="42" t="s">
        <v>33</v>
      </c>
    </row>
    <row r="10" spans="2:25" ht="15" x14ac:dyDescent="0.25">
      <c r="B10" s="38">
        <v>4</v>
      </c>
      <c r="C10" s="43" t="s">
        <v>41</v>
      </c>
      <c r="D10" s="44" t="s">
        <v>42</v>
      </c>
      <c r="E10" s="44" t="s">
        <v>43</v>
      </c>
      <c r="F10" s="44" t="s">
        <v>26</v>
      </c>
      <c r="G10" s="44">
        <v>1296345606</v>
      </c>
      <c r="H10" s="44"/>
      <c r="I10" s="44"/>
      <c r="J10" s="44"/>
      <c r="K10" s="44"/>
      <c r="L10" s="44"/>
      <c r="M10" s="44"/>
      <c r="N10" s="44"/>
      <c r="O10" s="44"/>
      <c r="P10" s="44"/>
      <c r="Q10" s="44" t="s">
        <v>44</v>
      </c>
      <c r="R10" s="45"/>
      <c r="S10" s="45">
        <v>2000000</v>
      </c>
      <c r="T10" s="44" t="s">
        <v>28</v>
      </c>
      <c r="U10" s="44" t="s">
        <v>29</v>
      </c>
      <c r="V10" s="44" t="s">
        <v>30</v>
      </c>
      <c r="W10" s="44" t="s">
        <v>31</v>
      </c>
      <c r="X10" s="44" t="s">
        <v>32</v>
      </c>
      <c r="Y10" s="46" t="s">
        <v>33</v>
      </c>
    </row>
    <row r="11" spans="2:25" ht="15" x14ac:dyDescent="0.25">
      <c r="B11" s="38">
        <v>5</v>
      </c>
      <c r="C11" s="39" t="s">
        <v>45</v>
      </c>
      <c r="D11" s="40" t="s">
        <v>46</v>
      </c>
      <c r="E11" s="40" t="s">
        <v>47</v>
      </c>
      <c r="F11" s="40" t="s">
        <v>26</v>
      </c>
      <c r="G11" s="40">
        <v>1263496478</v>
      </c>
      <c r="H11" s="40"/>
      <c r="I11" s="40"/>
      <c r="J11" s="40"/>
      <c r="K11" s="40"/>
      <c r="L11" s="40"/>
      <c r="M11" s="40"/>
      <c r="N11" s="40"/>
      <c r="O11" s="40"/>
      <c r="P11" s="40"/>
      <c r="Q11" s="40" t="s">
        <v>48</v>
      </c>
      <c r="R11" s="41"/>
      <c r="S11" s="41">
        <v>3000000</v>
      </c>
      <c r="T11" s="40" t="s">
        <v>28</v>
      </c>
      <c r="U11" s="40" t="s">
        <v>29</v>
      </c>
      <c r="V11" s="40" t="s">
        <v>30</v>
      </c>
      <c r="W11" s="40" t="s">
        <v>31</v>
      </c>
      <c r="X11" s="40" t="s">
        <v>32</v>
      </c>
      <c r="Y11" s="42" t="s">
        <v>33</v>
      </c>
    </row>
    <row r="12" spans="2:25" ht="15" x14ac:dyDescent="0.25">
      <c r="B12" s="38">
        <v>6</v>
      </c>
      <c r="C12" s="43" t="s">
        <v>49</v>
      </c>
      <c r="D12" s="44" t="s">
        <v>50</v>
      </c>
      <c r="E12" s="44" t="s">
        <v>51</v>
      </c>
      <c r="F12" s="44" t="s">
        <v>26</v>
      </c>
      <c r="G12" s="44">
        <v>1274562902</v>
      </c>
      <c r="H12" s="44"/>
      <c r="I12" s="44"/>
      <c r="J12" s="44"/>
      <c r="K12" s="44"/>
      <c r="L12" s="44"/>
      <c r="M12" s="44"/>
      <c r="N12" s="44"/>
      <c r="O12" s="44"/>
      <c r="P12" s="44"/>
      <c r="Q12" s="44" t="s">
        <v>52</v>
      </c>
      <c r="R12" s="45"/>
      <c r="S12" s="45">
        <v>2000000</v>
      </c>
      <c r="T12" s="44" t="s">
        <v>28</v>
      </c>
      <c r="U12" s="44" t="s">
        <v>29</v>
      </c>
      <c r="V12" s="44" t="s">
        <v>30</v>
      </c>
      <c r="W12" s="44" t="s">
        <v>31</v>
      </c>
      <c r="X12" s="44" t="s">
        <v>32</v>
      </c>
      <c r="Y12" s="46" t="s">
        <v>33</v>
      </c>
    </row>
    <row r="13" spans="2:25" ht="15" x14ac:dyDescent="0.25">
      <c r="B13" s="38">
        <v>7</v>
      </c>
      <c r="C13" s="39" t="s">
        <v>53</v>
      </c>
      <c r="D13" s="40" t="s">
        <v>54</v>
      </c>
      <c r="E13" s="40" t="s">
        <v>55</v>
      </c>
      <c r="F13" s="40" t="s">
        <v>26</v>
      </c>
      <c r="G13" s="40">
        <v>1834627045</v>
      </c>
      <c r="H13" s="40"/>
      <c r="I13" s="40"/>
      <c r="J13" s="40"/>
      <c r="K13" s="40"/>
      <c r="L13" s="40"/>
      <c r="M13" s="40"/>
      <c r="N13" s="40"/>
      <c r="O13" s="40"/>
      <c r="P13" s="40"/>
      <c r="Q13" s="40" t="s">
        <v>56</v>
      </c>
      <c r="R13" s="41"/>
      <c r="S13" s="41">
        <v>2000000</v>
      </c>
      <c r="T13" s="40" t="s">
        <v>28</v>
      </c>
      <c r="U13" s="40" t="s">
        <v>29</v>
      </c>
      <c r="V13" s="40" t="s">
        <v>30</v>
      </c>
      <c r="W13" s="40" t="s">
        <v>31</v>
      </c>
      <c r="X13" s="40" t="s">
        <v>32</v>
      </c>
      <c r="Y13" s="42" t="s">
        <v>33</v>
      </c>
    </row>
    <row r="14" spans="2:25" ht="15" x14ac:dyDescent="0.25">
      <c r="B14" s="38">
        <v>8</v>
      </c>
      <c r="C14" s="43" t="s">
        <v>57</v>
      </c>
      <c r="D14" s="44" t="s">
        <v>58</v>
      </c>
      <c r="E14" s="44" t="s">
        <v>59</v>
      </c>
      <c r="F14" s="44" t="s">
        <v>26</v>
      </c>
      <c r="G14" s="44">
        <v>1734562345</v>
      </c>
      <c r="H14" s="44"/>
      <c r="I14" s="44"/>
      <c r="J14" s="44"/>
      <c r="K14" s="44"/>
      <c r="L14" s="44"/>
      <c r="M14" s="44"/>
      <c r="N14" s="44"/>
      <c r="O14" s="44"/>
      <c r="P14" s="44"/>
      <c r="Q14" s="44" t="s">
        <v>60</v>
      </c>
      <c r="R14" s="45"/>
      <c r="S14" s="45">
        <v>2000000</v>
      </c>
      <c r="T14" s="44" t="s">
        <v>28</v>
      </c>
      <c r="U14" s="44" t="s">
        <v>29</v>
      </c>
      <c r="V14" s="44" t="s">
        <v>30</v>
      </c>
      <c r="W14" s="44" t="s">
        <v>31</v>
      </c>
      <c r="X14" s="44" t="s">
        <v>32</v>
      </c>
      <c r="Y14" s="46" t="s">
        <v>33</v>
      </c>
    </row>
    <row r="15" spans="2:25" ht="15" x14ac:dyDescent="0.25">
      <c r="B15" s="38">
        <v>9</v>
      </c>
      <c r="C15" s="39" t="s">
        <v>61</v>
      </c>
      <c r="D15" s="40" t="s">
        <v>62</v>
      </c>
      <c r="E15" s="40" t="s">
        <v>63</v>
      </c>
      <c r="F15" s="40" t="s">
        <v>26</v>
      </c>
      <c r="G15" s="40">
        <v>1345783456</v>
      </c>
      <c r="H15" s="40"/>
      <c r="I15" s="40"/>
      <c r="J15" s="40"/>
      <c r="K15" s="40"/>
      <c r="L15" s="40"/>
      <c r="M15" s="40"/>
      <c r="N15" s="40"/>
      <c r="O15" s="40"/>
      <c r="P15" s="40"/>
      <c r="Q15" s="40" t="s">
        <v>64</v>
      </c>
      <c r="R15" s="41"/>
      <c r="S15" s="41">
        <v>2000000</v>
      </c>
      <c r="T15" s="40" t="s">
        <v>28</v>
      </c>
      <c r="U15" s="40" t="s">
        <v>29</v>
      </c>
      <c r="V15" s="40" t="s">
        <v>30</v>
      </c>
      <c r="W15" s="40" t="s">
        <v>31</v>
      </c>
      <c r="X15" s="40" t="s">
        <v>32</v>
      </c>
      <c r="Y15" s="42" t="s">
        <v>33</v>
      </c>
    </row>
    <row r="16" spans="2:25" ht="15" x14ac:dyDescent="0.25">
      <c r="B16" s="38">
        <v>10</v>
      </c>
      <c r="C16" s="43" t="s">
        <v>65</v>
      </c>
      <c r="D16" s="44" t="s">
        <v>66</v>
      </c>
      <c r="E16" s="44" t="s">
        <v>67</v>
      </c>
      <c r="F16" s="44" t="s">
        <v>26</v>
      </c>
      <c r="G16" s="44">
        <v>1638902344</v>
      </c>
      <c r="H16" s="44"/>
      <c r="I16" s="44"/>
      <c r="J16" s="44"/>
      <c r="K16" s="44"/>
      <c r="L16" s="44"/>
      <c r="M16" s="44"/>
      <c r="N16" s="44"/>
      <c r="O16" s="44"/>
      <c r="P16" s="44"/>
      <c r="Q16" s="44" t="s">
        <v>68</v>
      </c>
      <c r="R16" s="45"/>
      <c r="S16" s="45">
        <v>2000000</v>
      </c>
      <c r="T16" s="44" t="s">
        <v>28</v>
      </c>
      <c r="U16" s="44" t="s">
        <v>29</v>
      </c>
      <c r="V16" s="44" t="s">
        <v>30</v>
      </c>
      <c r="W16" s="44" t="s">
        <v>31</v>
      </c>
      <c r="X16" s="44" t="s">
        <v>32</v>
      </c>
      <c r="Y16" s="46" t="s">
        <v>33</v>
      </c>
    </row>
    <row r="17" spans="2:25" ht="15" x14ac:dyDescent="0.25">
      <c r="B17" s="38">
        <v>11</v>
      </c>
      <c r="C17" s="39" t="s">
        <v>69</v>
      </c>
      <c r="D17" s="40" t="s">
        <v>70</v>
      </c>
      <c r="E17" s="40" t="s">
        <v>71</v>
      </c>
      <c r="F17" s="40" t="s">
        <v>26</v>
      </c>
      <c r="G17" s="40">
        <v>1834567234</v>
      </c>
      <c r="H17" s="40"/>
      <c r="I17" s="40"/>
      <c r="J17" s="40"/>
      <c r="K17" s="40"/>
      <c r="L17" s="40"/>
      <c r="M17" s="40"/>
      <c r="N17" s="40"/>
      <c r="O17" s="40"/>
      <c r="P17" s="40"/>
      <c r="Q17" s="40" t="s">
        <v>72</v>
      </c>
      <c r="R17" s="41"/>
      <c r="S17" s="41">
        <v>2000000</v>
      </c>
      <c r="T17" s="40" t="s">
        <v>28</v>
      </c>
      <c r="U17" s="40" t="s">
        <v>29</v>
      </c>
      <c r="V17" s="40" t="s">
        <v>30</v>
      </c>
      <c r="W17" s="40" t="s">
        <v>31</v>
      </c>
      <c r="X17" s="40" t="s">
        <v>32</v>
      </c>
      <c r="Y17" s="42" t="s">
        <v>33</v>
      </c>
    </row>
    <row r="18" spans="2:25" ht="15" x14ac:dyDescent="0.25">
      <c r="B18" s="38">
        <v>12</v>
      </c>
      <c r="C18" s="43" t="s">
        <v>73</v>
      </c>
      <c r="D18" s="44" t="s">
        <v>74</v>
      </c>
      <c r="E18" s="44" t="s">
        <v>75</v>
      </c>
      <c r="F18" s="44" t="s">
        <v>26</v>
      </c>
      <c r="G18" s="44">
        <v>1427354623</v>
      </c>
      <c r="H18" s="44"/>
      <c r="I18" s="44"/>
      <c r="J18" s="44"/>
      <c r="K18" s="44"/>
      <c r="L18" s="44"/>
      <c r="M18" s="44"/>
      <c r="N18" s="44"/>
      <c r="O18" s="44"/>
      <c r="P18" s="44"/>
      <c r="Q18" s="44" t="s">
        <v>76</v>
      </c>
      <c r="R18" s="45"/>
      <c r="S18" s="45">
        <v>2000000</v>
      </c>
      <c r="T18" s="44" t="s">
        <v>28</v>
      </c>
      <c r="U18" s="44" t="s">
        <v>29</v>
      </c>
      <c r="V18" s="44" t="s">
        <v>30</v>
      </c>
      <c r="W18" s="44" t="s">
        <v>31</v>
      </c>
      <c r="X18" s="44" t="s">
        <v>32</v>
      </c>
      <c r="Y18" s="46" t="s">
        <v>33</v>
      </c>
    </row>
    <row r="19" spans="2:25" ht="15" x14ac:dyDescent="0.25">
      <c r="B19" s="38">
        <v>13</v>
      </c>
      <c r="C19" s="39" t="s">
        <v>77</v>
      </c>
      <c r="D19" s="40" t="s">
        <v>78</v>
      </c>
      <c r="E19" s="40" t="s">
        <v>79</v>
      </c>
      <c r="F19" s="40" t="s">
        <v>26</v>
      </c>
      <c r="G19" s="40">
        <v>1289345678</v>
      </c>
      <c r="H19" s="40"/>
      <c r="I19" s="40"/>
      <c r="J19" s="40"/>
      <c r="K19" s="40"/>
      <c r="L19" s="40"/>
      <c r="M19" s="40"/>
      <c r="N19" s="40"/>
      <c r="O19" s="40"/>
      <c r="P19" s="40"/>
      <c r="Q19" s="40" t="s">
        <v>80</v>
      </c>
      <c r="R19" s="41"/>
      <c r="S19" s="41">
        <v>2000000</v>
      </c>
      <c r="T19" s="40" t="s">
        <v>28</v>
      </c>
      <c r="U19" s="40" t="s">
        <v>29</v>
      </c>
      <c r="V19" s="40" t="s">
        <v>30</v>
      </c>
      <c r="W19" s="40" t="s">
        <v>31</v>
      </c>
      <c r="X19" s="40" t="s">
        <v>32</v>
      </c>
      <c r="Y19" s="42" t="s">
        <v>33</v>
      </c>
    </row>
    <row r="20" spans="2:25" ht="15" x14ac:dyDescent="0.25">
      <c r="B20" s="38">
        <v>14</v>
      </c>
      <c r="C20" s="43" t="s">
        <v>81</v>
      </c>
      <c r="D20" s="44" t="s">
        <v>82</v>
      </c>
      <c r="E20" s="44" t="s">
        <v>83</v>
      </c>
      <c r="F20" s="44" t="s">
        <v>26</v>
      </c>
      <c r="G20" s="44">
        <v>1243567823</v>
      </c>
      <c r="H20" s="44"/>
      <c r="I20" s="44"/>
      <c r="J20" s="44"/>
      <c r="K20" s="44"/>
      <c r="L20" s="44"/>
      <c r="M20" s="44"/>
      <c r="N20" s="44"/>
      <c r="O20" s="44"/>
      <c r="P20" s="44"/>
      <c r="Q20" s="44" t="s">
        <v>84</v>
      </c>
      <c r="R20" s="45"/>
      <c r="S20" s="45">
        <v>2000000</v>
      </c>
      <c r="T20" s="44" t="s">
        <v>28</v>
      </c>
      <c r="U20" s="44" t="s">
        <v>29</v>
      </c>
      <c r="V20" s="44" t="s">
        <v>30</v>
      </c>
      <c r="W20" s="44" t="s">
        <v>31</v>
      </c>
      <c r="X20" s="44" t="s">
        <v>32</v>
      </c>
      <c r="Y20" s="46" t="s">
        <v>33</v>
      </c>
    </row>
    <row r="21" spans="2:25" ht="15" x14ac:dyDescent="0.25">
      <c r="B21" s="38">
        <v>15</v>
      </c>
      <c r="C21" s="39" t="s">
        <v>85</v>
      </c>
      <c r="D21" s="40" t="s">
        <v>86</v>
      </c>
      <c r="E21" s="40" t="s">
        <v>87</v>
      </c>
      <c r="F21" s="40" t="s">
        <v>26</v>
      </c>
      <c r="G21" s="40">
        <v>1238456734</v>
      </c>
      <c r="H21" s="40"/>
      <c r="I21" s="40"/>
      <c r="J21" s="40"/>
      <c r="K21" s="40"/>
      <c r="L21" s="40"/>
      <c r="M21" s="40"/>
      <c r="N21" s="40"/>
      <c r="O21" s="40"/>
      <c r="P21" s="40"/>
      <c r="Q21" s="40" t="s">
        <v>88</v>
      </c>
      <c r="R21" s="41"/>
      <c r="S21" s="41">
        <v>2000000</v>
      </c>
      <c r="T21" s="40" t="s">
        <v>28</v>
      </c>
      <c r="U21" s="40" t="s">
        <v>29</v>
      </c>
      <c r="V21" s="40" t="s">
        <v>30</v>
      </c>
      <c r="W21" s="40" t="s">
        <v>31</v>
      </c>
      <c r="X21" s="40" t="s">
        <v>32</v>
      </c>
      <c r="Y21" s="42" t="s">
        <v>33</v>
      </c>
    </row>
    <row r="22" spans="2:25" ht="15" x14ac:dyDescent="0.25">
      <c r="B22" s="38">
        <v>16</v>
      </c>
      <c r="C22" s="43" t="s">
        <v>89</v>
      </c>
      <c r="D22" s="44" t="s">
        <v>78</v>
      </c>
      <c r="E22" s="44" t="s">
        <v>79</v>
      </c>
      <c r="F22" s="44" t="s">
        <v>26</v>
      </c>
      <c r="G22" s="44">
        <v>1840642567</v>
      </c>
      <c r="H22" s="44"/>
      <c r="I22" s="44"/>
      <c r="J22" s="44"/>
      <c r="K22" s="44"/>
      <c r="L22" s="44"/>
      <c r="M22" s="44"/>
      <c r="N22" s="44"/>
      <c r="O22" s="44"/>
      <c r="P22" s="44"/>
      <c r="Q22" s="44" t="s">
        <v>90</v>
      </c>
      <c r="R22" s="45"/>
      <c r="S22" s="45">
        <v>2000000</v>
      </c>
      <c r="T22" s="44" t="s">
        <v>28</v>
      </c>
      <c r="U22" s="44" t="s">
        <v>29</v>
      </c>
      <c r="V22" s="44" t="s">
        <v>30</v>
      </c>
      <c r="W22" s="44" t="s">
        <v>31</v>
      </c>
      <c r="X22" s="44" t="s">
        <v>32</v>
      </c>
      <c r="Y22" s="46" t="s">
        <v>33</v>
      </c>
    </row>
    <row r="23" spans="2:25" ht="15" x14ac:dyDescent="0.25">
      <c r="B23" s="38">
        <v>17</v>
      </c>
      <c r="C23" s="39" t="s">
        <v>91</v>
      </c>
      <c r="D23" s="40" t="s">
        <v>92</v>
      </c>
      <c r="E23" s="40" t="s">
        <v>93</v>
      </c>
      <c r="F23" s="40" t="s">
        <v>26</v>
      </c>
      <c r="G23" s="40">
        <v>1528456789</v>
      </c>
      <c r="H23" s="40"/>
      <c r="I23" s="40"/>
      <c r="J23" s="40"/>
      <c r="K23" s="40"/>
      <c r="L23" s="40"/>
      <c r="M23" s="40"/>
      <c r="N23" s="40"/>
      <c r="O23" s="40"/>
      <c r="P23" s="40"/>
      <c r="Q23" s="40" t="s">
        <v>94</v>
      </c>
      <c r="R23" s="41"/>
      <c r="S23" s="41">
        <v>2000000</v>
      </c>
      <c r="T23" s="40" t="s">
        <v>28</v>
      </c>
      <c r="U23" s="40" t="s">
        <v>29</v>
      </c>
      <c r="V23" s="40" t="s">
        <v>30</v>
      </c>
      <c r="W23" s="40" t="s">
        <v>31</v>
      </c>
      <c r="X23" s="40" t="s">
        <v>32</v>
      </c>
      <c r="Y23" s="42" t="s">
        <v>33</v>
      </c>
    </row>
    <row r="24" spans="2:25" ht="15" x14ac:dyDescent="0.25">
      <c r="B24" s="38">
        <v>18</v>
      </c>
      <c r="C24" s="43" t="s">
        <v>95</v>
      </c>
      <c r="D24" s="44" t="s">
        <v>96</v>
      </c>
      <c r="E24" s="44" t="s">
        <v>97</v>
      </c>
      <c r="F24" s="44" t="s">
        <v>26</v>
      </c>
      <c r="G24" s="44">
        <v>1954372563</v>
      </c>
      <c r="H24" s="44"/>
      <c r="I24" s="44"/>
      <c r="J24" s="44"/>
      <c r="K24" s="44"/>
      <c r="L24" s="44"/>
      <c r="M24" s="44"/>
      <c r="N24" s="44"/>
      <c r="O24" s="44"/>
      <c r="P24" s="44"/>
      <c r="Q24" s="44" t="s">
        <v>98</v>
      </c>
      <c r="R24" s="45"/>
      <c r="S24" s="45">
        <v>3000000</v>
      </c>
      <c r="T24" s="44" t="s">
        <v>28</v>
      </c>
      <c r="U24" s="44" t="s">
        <v>29</v>
      </c>
      <c r="V24" s="44" t="s">
        <v>30</v>
      </c>
      <c r="W24" s="44" t="s">
        <v>31</v>
      </c>
      <c r="X24" s="44" t="s">
        <v>32</v>
      </c>
      <c r="Y24" s="46" t="s">
        <v>33</v>
      </c>
    </row>
    <row r="25" spans="2:25" ht="15" x14ac:dyDescent="0.25">
      <c r="B25" s="38">
        <v>19</v>
      </c>
      <c r="C25" s="39" t="s">
        <v>99</v>
      </c>
      <c r="D25" s="40" t="s">
        <v>100</v>
      </c>
      <c r="E25" s="40" t="s">
        <v>101</v>
      </c>
      <c r="F25" s="40" t="s">
        <v>26</v>
      </c>
      <c r="G25" s="40">
        <v>1735638902</v>
      </c>
      <c r="H25" s="40"/>
      <c r="I25" s="40"/>
      <c r="J25" s="40"/>
      <c r="K25" s="40"/>
      <c r="L25" s="40"/>
      <c r="M25" s="40"/>
      <c r="N25" s="40"/>
      <c r="O25" s="40"/>
      <c r="P25" s="40"/>
      <c r="Q25" s="40" t="s">
        <v>102</v>
      </c>
      <c r="R25" s="41"/>
      <c r="S25" s="41">
        <v>2000000</v>
      </c>
      <c r="T25" s="40" t="s">
        <v>28</v>
      </c>
      <c r="U25" s="40" t="s">
        <v>29</v>
      </c>
      <c r="V25" s="40" t="s">
        <v>30</v>
      </c>
      <c r="W25" s="40" t="s">
        <v>31</v>
      </c>
      <c r="X25" s="40" t="s">
        <v>32</v>
      </c>
      <c r="Y25" s="42" t="s">
        <v>33</v>
      </c>
    </row>
    <row r="26" spans="2:25" ht="15" x14ac:dyDescent="0.25">
      <c r="B26" s="38">
        <v>20</v>
      </c>
      <c r="C26" s="47" t="s">
        <v>103</v>
      </c>
      <c r="D26" s="44" t="s">
        <v>104</v>
      </c>
      <c r="E26" s="44" t="s">
        <v>105</v>
      </c>
      <c r="F26" s="44" t="s">
        <v>26</v>
      </c>
      <c r="G26" s="44">
        <v>1273456892</v>
      </c>
      <c r="H26" s="48"/>
      <c r="I26" s="48"/>
      <c r="J26" s="48"/>
      <c r="K26" s="48"/>
      <c r="L26" s="48"/>
      <c r="M26" s="48"/>
      <c r="N26" s="48"/>
      <c r="O26" s="48"/>
      <c r="P26" s="48"/>
      <c r="Q26" s="48" t="s">
        <v>106</v>
      </c>
      <c r="R26" s="49"/>
      <c r="S26" s="45">
        <v>3000000</v>
      </c>
      <c r="T26" s="44" t="s">
        <v>28</v>
      </c>
      <c r="U26" s="44" t="s">
        <v>29</v>
      </c>
      <c r="V26" s="44" t="s">
        <v>30</v>
      </c>
      <c r="W26" s="44" t="s">
        <v>31</v>
      </c>
      <c r="X26" s="44" t="s">
        <v>32</v>
      </c>
      <c r="Y26" s="46" t="s">
        <v>33</v>
      </c>
    </row>
    <row r="27" spans="2:25" ht="15" x14ac:dyDescent="0.25">
      <c r="B27" s="38">
        <v>21</v>
      </c>
      <c r="C27" s="50" t="s">
        <v>107</v>
      </c>
      <c r="D27" s="40" t="s">
        <v>108</v>
      </c>
      <c r="E27" s="40" t="s">
        <v>109</v>
      </c>
      <c r="F27" s="40" t="s">
        <v>26</v>
      </c>
      <c r="G27" s="40">
        <v>1572465935</v>
      </c>
      <c r="H27" s="40"/>
      <c r="I27" s="40"/>
      <c r="J27" s="40"/>
      <c r="K27" s="40"/>
      <c r="L27" s="40"/>
      <c r="M27" s="40"/>
      <c r="N27" s="40"/>
      <c r="O27" s="40"/>
      <c r="P27" s="40"/>
      <c r="Q27" s="40" t="s">
        <v>110</v>
      </c>
      <c r="R27" s="41"/>
      <c r="S27" s="41">
        <v>2000000</v>
      </c>
      <c r="T27" s="40" t="s">
        <v>28</v>
      </c>
      <c r="U27" s="40" t="s">
        <v>29</v>
      </c>
      <c r="V27" s="40" t="s">
        <v>30</v>
      </c>
      <c r="W27" s="40" t="s">
        <v>31</v>
      </c>
      <c r="X27" s="40" t="s">
        <v>32</v>
      </c>
      <c r="Y27" s="42" t="s">
        <v>33</v>
      </c>
    </row>
    <row r="28" spans="2:25" ht="15" x14ac:dyDescent="0.25">
      <c r="B28" s="38">
        <v>22</v>
      </c>
      <c r="C28" s="47" t="s">
        <v>111</v>
      </c>
      <c r="D28" s="44" t="s">
        <v>112</v>
      </c>
      <c r="E28" s="44" t="s">
        <v>113</v>
      </c>
      <c r="F28" s="44" t="s">
        <v>26</v>
      </c>
      <c r="G28" s="44">
        <v>1634582954</v>
      </c>
      <c r="H28" s="44"/>
      <c r="I28" s="44"/>
      <c r="J28" s="44"/>
      <c r="K28" s="44"/>
      <c r="L28" s="44"/>
      <c r="M28" s="44"/>
      <c r="N28" s="44"/>
      <c r="O28" s="44"/>
      <c r="P28" s="44"/>
      <c r="Q28" s="44" t="s">
        <v>114</v>
      </c>
      <c r="R28" s="45"/>
      <c r="S28" s="45">
        <v>2000000</v>
      </c>
      <c r="T28" s="44" t="s">
        <v>28</v>
      </c>
      <c r="U28" s="44" t="s">
        <v>29</v>
      </c>
      <c r="V28" s="44" t="s">
        <v>30</v>
      </c>
      <c r="W28" s="44" t="s">
        <v>31</v>
      </c>
      <c r="X28" s="44" t="s">
        <v>32</v>
      </c>
      <c r="Y28" s="46" t="s">
        <v>33</v>
      </c>
    </row>
    <row r="29" spans="2:25" ht="15" x14ac:dyDescent="0.25">
      <c r="B29" s="51">
        <v>23</v>
      </c>
      <c r="C29" s="52" t="s">
        <v>115</v>
      </c>
      <c r="D29" s="52" t="s">
        <v>116</v>
      </c>
      <c r="E29" s="52" t="s">
        <v>117</v>
      </c>
      <c r="F29" s="52" t="s">
        <v>26</v>
      </c>
      <c r="G29" s="52">
        <v>1638946378</v>
      </c>
      <c r="H29" s="52"/>
      <c r="I29" s="52"/>
      <c r="J29" s="52"/>
      <c r="K29" s="52"/>
      <c r="L29" s="52"/>
      <c r="M29" s="52"/>
      <c r="N29" s="52"/>
      <c r="O29" s="52"/>
      <c r="P29" s="52"/>
      <c r="Q29" s="52" t="s">
        <v>118</v>
      </c>
      <c r="R29" s="53"/>
      <c r="S29" s="53">
        <v>2000000</v>
      </c>
      <c r="T29" s="52" t="s">
        <v>28</v>
      </c>
      <c r="U29" s="52" t="s">
        <v>29</v>
      </c>
      <c r="V29" s="52" t="s">
        <v>30</v>
      </c>
      <c r="W29" s="52" t="s">
        <v>31</v>
      </c>
      <c r="X29" s="52" t="s">
        <v>32</v>
      </c>
      <c r="Y29" s="54" t="s">
        <v>33</v>
      </c>
    </row>
    <row r="31" spans="2:25" ht="15" x14ac:dyDescent="0.25">
      <c r="R31" s="55"/>
      <c r="S31" s="55"/>
      <c r="W31" t="s">
        <v>119</v>
      </c>
    </row>
    <row r="32" spans="2:25" ht="15" x14ac:dyDescent="0.25">
      <c r="R32" s="56" t="s">
        <v>27</v>
      </c>
      <c r="S32" s="56"/>
    </row>
    <row r="33" spans="18:19" ht="15" x14ac:dyDescent="0.25">
      <c r="R33" s="44"/>
      <c r="S33" s="44"/>
    </row>
  </sheetData>
  <pageMargins left="0.7" right="0.7" top="0.75" bottom="0.75" header="0.3" footer="0.3"/>
  <pageSetup scale="38" orientation="portrait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100-000000000000}">
          <x14:formula1>
            <xm:f>'2'!$C$3:$C$12</xm:f>
          </x14:formula1>
          <xm:sqref>F7:F29</xm:sqref>
        </x14:dataValidation>
        <x14:dataValidation type="list" allowBlank="1" showInputMessage="1" showErrorMessage="1" xr:uid="{00000000-0002-0000-0100-000001000000}">
          <x14:formula1>
            <xm:f>NOVEDADES!$F$4:$F$26</xm:f>
          </x14:formula1>
          <xm:sqref>R32:S33 M3:M4 H7:Q29</xm:sqref>
        </x14:dataValidation>
        <x14:dataValidation type="list" allowBlank="1" showInputMessage="1" showErrorMessage="1" xr:uid="{00000000-0002-0000-0100-000002000000}">
          <x14:formula1>
            <xm:f>'2'!$B$3:$B$8</xm:f>
          </x14:formula1>
          <xm:sqref>T7:T29</xm:sqref>
        </x14:dataValidation>
        <x14:dataValidation type="list" allowBlank="1" showInputMessage="1" showErrorMessage="1" xr:uid="{00000000-0002-0000-0100-000003000000}">
          <x14:formula1>
            <xm:f>'2'!$E$3:$E$11</xm:f>
          </x14:formula1>
          <xm:sqref>U7:U29</xm:sqref>
        </x14:dataValidation>
        <x14:dataValidation type="list" allowBlank="1" showInputMessage="1" showErrorMessage="1" xr:uid="{00000000-0002-0000-0100-000004000000}">
          <x14:formula1>
            <xm:f>'2'!$D$3:$D$11</xm:f>
          </x14:formula1>
          <xm:sqref>V7:V29</xm:sqref>
        </x14:dataValidation>
        <x14:dataValidation type="list" allowBlank="1" showInputMessage="1" showErrorMessage="1" xr:uid="{00000000-0002-0000-0100-000005000000}">
          <x14:formula1>
            <xm:f>'2'!$G$3:$G$12</xm:f>
          </x14:formula1>
          <xm:sqref>W7:W29</xm:sqref>
        </x14:dataValidation>
        <x14:dataValidation type="list" allowBlank="1" showInputMessage="1" showErrorMessage="1" xr:uid="{00000000-0002-0000-0100-000006000000}">
          <x14:formula1>
            <xm:f>'2'!$H$3:$H$10</xm:f>
          </x14:formula1>
          <xm:sqref>X7:X29</xm:sqref>
        </x14:dataValidation>
        <x14:dataValidation type="list" allowBlank="1" showInputMessage="1" showErrorMessage="1" xr:uid="{00000000-0002-0000-0100-000007000000}">
          <x14:formula1>
            <xm:f>'2'!$I$3:$I$7</xm:f>
          </x14:formula1>
          <xm:sqref>Y7:Y29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3:P26"/>
  <sheetViews>
    <sheetView showGridLines="0" workbookViewId="0">
      <selection activeCell="H27" sqref="H27"/>
    </sheetView>
  </sheetViews>
  <sheetFormatPr baseColWidth="10" defaultColWidth="11" defaultRowHeight="13.5" x14ac:dyDescent="0.15"/>
  <cols>
    <col min="2" max="2" width="6.875" customWidth="1"/>
    <col min="4" max="4" width="21.875" customWidth="1"/>
    <col min="5" max="5" width="14.875" customWidth="1"/>
    <col min="6" max="6" width="33.75" customWidth="1"/>
    <col min="7" max="8" width="16.875" customWidth="1"/>
    <col min="15" max="15" width="30.625" customWidth="1"/>
    <col min="16" max="16" width="11" hidden="1" customWidth="1"/>
    <col min="17" max="17" width="28.5" customWidth="1"/>
  </cols>
  <sheetData>
    <row r="3" spans="2:8" ht="27" x14ac:dyDescent="0.15">
      <c r="B3" s="30" t="s">
        <v>0</v>
      </c>
      <c r="C3" s="10" t="s">
        <v>1</v>
      </c>
      <c r="D3" s="10" t="s">
        <v>120</v>
      </c>
      <c r="E3" s="10" t="s">
        <v>121</v>
      </c>
      <c r="F3" s="10" t="s">
        <v>14</v>
      </c>
      <c r="G3" s="31" t="s">
        <v>122</v>
      </c>
      <c r="H3" s="32" t="s">
        <v>123</v>
      </c>
    </row>
    <row r="4" spans="2:8" hidden="1" x14ac:dyDescent="0.15">
      <c r="B4" s="33">
        <v>1</v>
      </c>
      <c r="C4" s="17">
        <v>127</v>
      </c>
      <c r="D4" s="17" t="s">
        <v>124</v>
      </c>
      <c r="E4" s="17">
        <v>1234567823</v>
      </c>
      <c r="F4" s="17" t="s">
        <v>27</v>
      </c>
      <c r="G4" s="15">
        <v>5000000</v>
      </c>
      <c r="H4" s="18">
        <f>'LISTA DE FALLAS'!AK4</f>
        <v>4</v>
      </c>
    </row>
    <row r="5" spans="2:8" hidden="1" x14ac:dyDescent="0.15">
      <c r="B5" s="33">
        <v>2</v>
      </c>
      <c r="C5" s="22">
        <v>274</v>
      </c>
      <c r="D5" s="22" t="s">
        <v>125</v>
      </c>
      <c r="E5" s="22">
        <v>1634561234</v>
      </c>
      <c r="F5" s="22" t="s">
        <v>37</v>
      </c>
      <c r="G5" s="20">
        <v>4000000</v>
      </c>
      <c r="H5" s="23">
        <f>'LISTA DE FALLAS'!AK5</f>
        <v>4</v>
      </c>
    </row>
    <row r="6" spans="2:8" hidden="1" x14ac:dyDescent="0.15">
      <c r="B6" s="33">
        <v>3</v>
      </c>
      <c r="C6" s="17">
        <v>123</v>
      </c>
      <c r="D6" s="17" t="s">
        <v>126</v>
      </c>
      <c r="E6" s="17">
        <v>1274256789</v>
      </c>
      <c r="F6" s="17" t="s">
        <v>40</v>
      </c>
      <c r="G6" s="15">
        <v>3000000</v>
      </c>
      <c r="H6" s="18">
        <f>'LISTA DE FALLAS'!AK6</f>
        <v>4</v>
      </c>
    </row>
    <row r="7" spans="2:8" hidden="1" x14ac:dyDescent="0.15">
      <c r="B7" s="33">
        <v>4</v>
      </c>
      <c r="C7" s="22">
        <v>100</v>
      </c>
      <c r="D7" s="22" t="s">
        <v>127</v>
      </c>
      <c r="E7" s="22">
        <v>1296345606</v>
      </c>
      <c r="F7" s="22" t="s">
        <v>44</v>
      </c>
      <c r="G7" s="20">
        <v>2000000</v>
      </c>
      <c r="H7" s="23">
        <f>'LISTA DE FALLAS'!AK7</f>
        <v>4</v>
      </c>
    </row>
    <row r="8" spans="2:8" hidden="1" x14ac:dyDescent="0.15">
      <c r="B8" s="33">
        <v>5</v>
      </c>
      <c r="C8" s="17">
        <v>245</v>
      </c>
      <c r="D8" s="17" t="s">
        <v>128</v>
      </c>
      <c r="E8" s="17">
        <v>1263496478</v>
      </c>
      <c r="F8" s="17" t="s">
        <v>48</v>
      </c>
      <c r="G8" s="15">
        <v>3000000</v>
      </c>
      <c r="H8" s="18">
        <f>'LISTA DE FALLAS'!AK8</f>
        <v>4</v>
      </c>
    </row>
    <row r="9" spans="2:8" hidden="1" x14ac:dyDescent="0.15">
      <c r="B9" s="33">
        <v>6</v>
      </c>
      <c r="C9" s="22">
        <v>745</v>
      </c>
      <c r="D9" s="22" t="s">
        <v>129</v>
      </c>
      <c r="E9" s="22">
        <v>1274562902</v>
      </c>
      <c r="F9" s="22" t="s">
        <v>52</v>
      </c>
      <c r="G9" s="20">
        <v>2000000</v>
      </c>
      <c r="H9" s="23">
        <f>'LISTA DE FALLAS'!AK9</f>
        <v>4</v>
      </c>
    </row>
    <row r="10" spans="2:8" hidden="1" x14ac:dyDescent="0.15">
      <c r="B10" s="33">
        <v>7</v>
      </c>
      <c r="C10" s="17">
        <v>284</v>
      </c>
      <c r="D10" s="17" t="s">
        <v>130</v>
      </c>
      <c r="E10" s="17">
        <v>1834627045</v>
      </c>
      <c r="F10" s="17" t="s">
        <v>56</v>
      </c>
      <c r="G10" s="15">
        <v>2000000</v>
      </c>
      <c r="H10" s="18">
        <f>'LISTA DE FALLAS'!AK10</f>
        <v>4</v>
      </c>
    </row>
    <row r="11" spans="2:8" hidden="1" x14ac:dyDescent="0.15">
      <c r="B11" s="33">
        <v>8</v>
      </c>
      <c r="C11" s="22">
        <v>634</v>
      </c>
      <c r="D11" s="22" t="s">
        <v>131</v>
      </c>
      <c r="E11" s="22">
        <v>1734562345</v>
      </c>
      <c r="F11" s="22" t="s">
        <v>60</v>
      </c>
      <c r="G11" s="20">
        <v>2000000</v>
      </c>
      <c r="H11" s="23">
        <f>'LISTA DE FALLAS'!AK11</f>
        <v>4</v>
      </c>
    </row>
    <row r="12" spans="2:8" hidden="1" x14ac:dyDescent="0.15">
      <c r="B12" s="33">
        <v>9</v>
      </c>
      <c r="C12" s="17">
        <v>256</v>
      </c>
      <c r="D12" s="17" t="s">
        <v>132</v>
      </c>
      <c r="E12" s="17">
        <v>1345783456</v>
      </c>
      <c r="F12" s="17" t="s">
        <v>64</v>
      </c>
      <c r="G12" s="15">
        <v>2000000</v>
      </c>
      <c r="H12" s="18">
        <f>'LISTA DE FALLAS'!AK12</f>
        <v>4</v>
      </c>
    </row>
    <row r="13" spans="2:8" hidden="1" x14ac:dyDescent="0.15">
      <c r="B13" s="33">
        <v>10</v>
      </c>
      <c r="C13" s="22">
        <v>384</v>
      </c>
      <c r="D13" s="22" t="s">
        <v>133</v>
      </c>
      <c r="E13" s="22">
        <v>1638902344</v>
      </c>
      <c r="F13" s="22" t="s">
        <v>68</v>
      </c>
      <c r="G13" s="20">
        <v>2000000</v>
      </c>
      <c r="H13" s="23">
        <f>'LISTA DE FALLAS'!AK13</f>
        <v>4</v>
      </c>
    </row>
    <row r="14" spans="2:8" hidden="1" x14ac:dyDescent="0.15">
      <c r="B14" s="33">
        <v>11</v>
      </c>
      <c r="C14" s="17">
        <v>567</v>
      </c>
      <c r="D14" s="17" t="s">
        <v>134</v>
      </c>
      <c r="E14" s="17">
        <v>1834567234</v>
      </c>
      <c r="F14" s="17" t="s">
        <v>72</v>
      </c>
      <c r="G14" s="15">
        <v>2000000</v>
      </c>
      <c r="H14" s="18">
        <f>'LISTA DE FALLAS'!AK14</f>
        <v>4</v>
      </c>
    </row>
    <row r="15" spans="2:8" hidden="1" x14ac:dyDescent="0.15">
      <c r="B15" s="33">
        <v>12</v>
      </c>
      <c r="C15" s="22">
        <v>234</v>
      </c>
      <c r="D15" s="22" t="s">
        <v>135</v>
      </c>
      <c r="E15" s="22">
        <v>1427354623</v>
      </c>
      <c r="F15" s="22" t="s">
        <v>76</v>
      </c>
      <c r="G15" s="20">
        <v>2000000</v>
      </c>
      <c r="H15" s="23">
        <f>'LISTA DE FALLAS'!AK15</f>
        <v>4</v>
      </c>
    </row>
    <row r="16" spans="2:8" hidden="1" x14ac:dyDescent="0.15">
      <c r="B16" s="33">
        <v>13</v>
      </c>
      <c r="C16" s="17">
        <v>561</v>
      </c>
      <c r="D16" s="17" t="s">
        <v>136</v>
      </c>
      <c r="E16" s="17">
        <v>1289345678</v>
      </c>
      <c r="F16" s="17" t="s">
        <v>80</v>
      </c>
      <c r="G16" s="15">
        <v>2000000</v>
      </c>
      <c r="H16" s="18">
        <f>'LISTA DE FALLAS'!AK16</f>
        <v>4</v>
      </c>
    </row>
    <row r="17" spans="2:8" hidden="1" x14ac:dyDescent="0.15">
      <c r="B17" s="33">
        <v>14</v>
      </c>
      <c r="C17" s="22">
        <v>234</v>
      </c>
      <c r="D17" s="22" t="s">
        <v>137</v>
      </c>
      <c r="E17" s="22">
        <v>1243567823</v>
      </c>
      <c r="F17" s="22" t="s">
        <v>84</v>
      </c>
      <c r="G17" s="20">
        <v>2000000</v>
      </c>
      <c r="H17" s="23">
        <f>'LISTA DE FALLAS'!AK17</f>
        <v>4</v>
      </c>
    </row>
    <row r="18" spans="2:8" hidden="1" x14ac:dyDescent="0.15">
      <c r="B18" s="33">
        <v>15</v>
      </c>
      <c r="C18" s="17">
        <v>567</v>
      </c>
      <c r="D18" s="17" t="s">
        <v>138</v>
      </c>
      <c r="E18" s="17">
        <v>1238456734</v>
      </c>
      <c r="F18" s="17" t="s">
        <v>88</v>
      </c>
      <c r="G18" s="15">
        <v>2000000</v>
      </c>
      <c r="H18" s="18">
        <f>'LISTA DE FALLAS'!AK18</f>
        <v>4</v>
      </c>
    </row>
    <row r="19" spans="2:8" hidden="1" x14ac:dyDescent="0.15">
      <c r="B19" s="33">
        <v>16</v>
      </c>
      <c r="C19" s="22">
        <v>345</v>
      </c>
      <c r="D19" s="22" t="s">
        <v>136</v>
      </c>
      <c r="E19" s="22">
        <v>1840642567</v>
      </c>
      <c r="F19" s="22" t="s">
        <v>90</v>
      </c>
      <c r="G19" s="20">
        <v>2000000</v>
      </c>
      <c r="H19" s="23">
        <f>'LISTA DE FALLAS'!AK19</f>
        <v>4</v>
      </c>
    </row>
    <row r="20" spans="2:8" hidden="1" x14ac:dyDescent="0.15">
      <c r="B20" s="33">
        <v>17</v>
      </c>
      <c r="C20" s="17">
        <v>234</v>
      </c>
      <c r="D20" s="17" t="s">
        <v>139</v>
      </c>
      <c r="E20" s="17">
        <v>1528456789</v>
      </c>
      <c r="F20" s="17" t="s">
        <v>94</v>
      </c>
      <c r="G20" s="15">
        <v>2000000</v>
      </c>
      <c r="H20" s="18">
        <f>'LISTA DE FALLAS'!AK20</f>
        <v>4</v>
      </c>
    </row>
    <row r="21" spans="2:8" hidden="1" x14ac:dyDescent="0.15">
      <c r="B21" s="33">
        <v>18</v>
      </c>
      <c r="C21" s="22">
        <v>789</v>
      </c>
      <c r="D21" s="22" t="s">
        <v>140</v>
      </c>
      <c r="E21" s="22">
        <v>1954372563</v>
      </c>
      <c r="F21" s="22" t="s">
        <v>98</v>
      </c>
      <c r="G21" s="20">
        <v>3000000</v>
      </c>
      <c r="H21" s="23">
        <f>'LISTA DE FALLAS'!AK21</f>
        <v>4</v>
      </c>
    </row>
    <row r="22" spans="2:8" hidden="1" x14ac:dyDescent="0.15">
      <c r="B22" s="33">
        <v>19</v>
      </c>
      <c r="C22" s="17">
        <v>543</v>
      </c>
      <c r="D22" s="17" t="s">
        <v>141</v>
      </c>
      <c r="E22" s="17">
        <v>1735638902</v>
      </c>
      <c r="F22" s="17" t="s">
        <v>102</v>
      </c>
      <c r="G22" s="15">
        <v>2000000</v>
      </c>
      <c r="H22" s="18">
        <f>'LISTA DE FALLAS'!AK22</f>
        <v>4</v>
      </c>
    </row>
    <row r="23" spans="2:8" hidden="1" x14ac:dyDescent="0.15">
      <c r="B23" s="33">
        <v>20</v>
      </c>
      <c r="C23" s="22">
        <v>678</v>
      </c>
      <c r="D23" s="22" t="s">
        <v>142</v>
      </c>
      <c r="E23" s="22">
        <v>1273456892</v>
      </c>
      <c r="F23" s="22" t="s">
        <v>106</v>
      </c>
      <c r="G23" s="20">
        <v>3000000</v>
      </c>
      <c r="H23" s="23">
        <f>'LISTA DE FALLAS'!AK23</f>
        <v>4</v>
      </c>
    </row>
    <row r="24" spans="2:8" hidden="1" x14ac:dyDescent="0.15">
      <c r="B24" s="33">
        <v>21</v>
      </c>
      <c r="C24" s="17">
        <v>345</v>
      </c>
      <c r="D24" s="17" t="s">
        <v>143</v>
      </c>
      <c r="E24" s="17">
        <v>1572465935</v>
      </c>
      <c r="F24" s="17" t="s">
        <v>110</v>
      </c>
      <c r="G24" s="15">
        <v>2000000</v>
      </c>
      <c r="H24" s="18">
        <f>'LISTA DE FALLAS'!AK24</f>
        <v>4</v>
      </c>
    </row>
    <row r="25" spans="2:8" x14ac:dyDescent="0.15">
      <c r="B25" s="33">
        <v>22</v>
      </c>
      <c r="C25" s="22">
        <v>678</v>
      </c>
      <c r="D25" s="22" t="s">
        <v>144</v>
      </c>
      <c r="E25" s="22">
        <v>1634582954</v>
      </c>
      <c r="F25" s="22" t="s">
        <v>114</v>
      </c>
      <c r="G25" s="20">
        <v>2000000</v>
      </c>
      <c r="H25" s="23">
        <f>'LISTA DE FALLAS'!AK25</f>
        <v>4</v>
      </c>
    </row>
    <row r="26" spans="2:8" hidden="1" x14ac:dyDescent="0.15">
      <c r="B26" s="34">
        <v>23</v>
      </c>
      <c r="C26" s="28">
        <v>123</v>
      </c>
      <c r="D26" s="28" t="s">
        <v>145</v>
      </c>
      <c r="E26" s="28">
        <v>1638946378</v>
      </c>
      <c r="F26" s="28" t="s">
        <v>118</v>
      </c>
      <c r="G26" s="26">
        <v>2000000</v>
      </c>
      <c r="H26" s="29">
        <f>'LISTA DE FALLAS'!AK26</f>
        <v>4</v>
      </c>
    </row>
  </sheetData>
  <pageMargins left="0.7" right="0.7" top="0.75" bottom="0.75" header="0.3" footer="0.3"/>
  <pageSetup paperSize="9" scale="23" orientation="portrait"/>
  <colBreaks count="1" manualBreakCount="1">
    <brk id="30" max="61" man="1"/>
  </colBreaks>
  <drawing r:id="rId1"/>
  <picture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AL26"/>
  <sheetViews>
    <sheetView zoomScale="70" zoomScaleNormal="70" workbookViewId="0">
      <selection activeCell="AL5" sqref="AL5"/>
    </sheetView>
  </sheetViews>
  <sheetFormatPr baseColWidth="10" defaultColWidth="9" defaultRowHeight="13.5" x14ac:dyDescent="0.15"/>
  <cols>
    <col min="2" max="2" width="19.125" customWidth="1"/>
    <col min="3" max="3" width="11.75" customWidth="1"/>
    <col min="4" max="4" width="7.125" customWidth="1"/>
    <col min="5" max="5" width="4.875" customWidth="1"/>
    <col min="6" max="6" width="5.75" customWidth="1"/>
    <col min="7" max="7" width="4.875" customWidth="1"/>
    <col min="8" max="8" width="5.125" customWidth="1"/>
    <col min="9" max="9" width="4.875" customWidth="1"/>
    <col min="10" max="10" width="3.875" customWidth="1"/>
    <col min="11" max="11" width="11.375" customWidth="1"/>
    <col min="12" max="12" width="5.375" customWidth="1"/>
    <col min="13" max="13" width="6.375" customWidth="1"/>
    <col min="14" max="18" width="4.875" customWidth="1"/>
    <col min="19" max="19" width="12.125" customWidth="1"/>
    <col min="20" max="20" width="7.375" customWidth="1"/>
    <col min="21" max="26" width="5.875" customWidth="1"/>
    <col min="27" max="27" width="12" customWidth="1"/>
    <col min="28" max="28" width="6.25" customWidth="1"/>
    <col min="29" max="30" width="5.875" customWidth="1"/>
    <col min="31" max="32" width="8.625" customWidth="1"/>
    <col min="33" max="33" width="6.125" customWidth="1"/>
    <col min="34" max="34" width="5.125" customWidth="1"/>
    <col min="36" max="36" width="18.875" customWidth="1"/>
    <col min="37" max="37" width="10.875" customWidth="1"/>
    <col min="38" max="38" width="12.5" customWidth="1"/>
  </cols>
  <sheetData>
    <row r="2" spans="2:38" x14ac:dyDescent="0.15">
      <c r="B2" s="3"/>
      <c r="D2" s="58" t="s">
        <v>146</v>
      </c>
      <c r="E2" s="59"/>
      <c r="F2" s="59"/>
      <c r="G2" s="59"/>
      <c r="H2" s="59"/>
      <c r="I2" s="59"/>
      <c r="J2" s="60"/>
      <c r="L2" s="58" t="s">
        <v>147</v>
      </c>
      <c r="M2" s="59"/>
      <c r="N2" s="59"/>
      <c r="O2" s="59"/>
      <c r="P2" s="59"/>
      <c r="Q2" s="59"/>
      <c r="R2" s="60"/>
      <c r="T2" s="58" t="s">
        <v>148</v>
      </c>
      <c r="U2" s="59"/>
      <c r="V2" s="59"/>
      <c r="W2" s="59"/>
      <c r="X2" s="59"/>
      <c r="Y2" s="59"/>
      <c r="Z2" s="60"/>
      <c r="AB2" s="58" t="s">
        <v>149</v>
      </c>
      <c r="AC2" s="59"/>
      <c r="AD2" s="59"/>
      <c r="AE2" s="59"/>
      <c r="AF2" s="60"/>
    </row>
    <row r="3" spans="2:38" ht="54" x14ac:dyDescent="0.15">
      <c r="B3" s="4" t="s">
        <v>150</v>
      </c>
      <c r="C3" s="5" t="s">
        <v>151</v>
      </c>
      <c r="D3" s="6" t="s">
        <v>152</v>
      </c>
      <c r="E3" s="7" t="s">
        <v>153</v>
      </c>
      <c r="F3" s="7" t="s">
        <v>154</v>
      </c>
      <c r="G3" s="7" t="s">
        <v>155</v>
      </c>
      <c r="H3" s="7" t="s">
        <v>156</v>
      </c>
      <c r="I3" s="7" t="s">
        <v>157</v>
      </c>
      <c r="J3" s="8" t="s">
        <v>158</v>
      </c>
      <c r="K3" s="9" t="s">
        <v>159</v>
      </c>
      <c r="L3" s="10" t="s">
        <v>160</v>
      </c>
      <c r="M3" s="10" t="s">
        <v>161</v>
      </c>
      <c r="N3" s="10" t="s">
        <v>162</v>
      </c>
      <c r="O3" s="10" t="s">
        <v>163</v>
      </c>
      <c r="P3" s="10" t="s">
        <v>164</v>
      </c>
      <c r="Q3" s="10" t="s">
        <v>165</v>
      </c>
      <c r="R3" s="8" t="s">
        <v>166</v>
      </c>
      <c r="S3" s="9" t="s">
        <v>167</v>
      </c>
      <c r="T3" s="7" t="s">
        <v>168</v>
      </c>
      <c r="U3" s="7" t="s">
        <v>169</v>
      </c>
      <c r="V3" s="7" t="s">
        <v>170</v>
      </c>
      <c r="W3" s="7" t="s">
        <v>171</v>
      </c>
      <c r="X3" s="7" t="s">
        <v>172</v>
      </c>
      <c r="Y3" s="7" t="s">
        <v>173</v>
      </c>
      <c r="Z3" s="8" t="s">
        <v>174</v>
      </c>
      <c r="AA3" s="9" t="s">
        <v>175</v>
      </c>
      <c r="AB3" s="7" t="s">
        <v>176</v>
      </c>
      <c r="AC3" s="7" t="s">
        <v>177</v>
      </c>
      <c r="AD3" s="7" t="s">
        <v>178</v>
      </c>
      <c r="AE3" s="7" t="s">
        <v>179</v>
      </c>
      <c r="AF3" s="7" t="s">
        <v>180</v>
      </c>
      <c r="AG3" s="9" t="s">
        <v>181</v>
      </c>
      <c r="AH3" s="9" t="s">
        <v>182</v>
      </c>
      <c r="AI3" s="9" t="s">
        <v>183</v>
      </c>
      <c r="AJ3" s="11" t="s">
        <v>184</v>
      </c>
      <c r="AK3" s="12" t="s">
        <v>185</v>
      </c>
      <c r="AL3" s="13" t="s">
        <v>186</v>
      </c>
    </row>
    <row r="4" spans="2:38" x14ac:dyDescent="0.15">
      <c r="B4" s="14" t="s">
        <v>124</v>
      </c>
      <c r="C4" s="15">
        <v>5000000</v>
      </c>
      <c r="D4" s="16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>
        <f t="shared" ref="AJ4:AJ26" si="0">K4+S4+AA4+AI4</f>
        <v>0</v>
      </c>
      <c r="AK4" s="17">
        <v>4</v>
      </c>
      <c r="AL4" s="18">
        <f t="shared" ref="AL4:AL26" si="1">C4/30*AJ4</f>
        <v>0</v>
      </c>
    </row>
    <row r="5" spans="2:38" x14ac:dyDescent="0.15">
      <c r="B5" s="19" t="s">
        <v>125</v>
      </c>
      <c r="C5" s="20">
        <v>4000000</v>
      </c>
      <c r="D5" s="21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17">
        <f t="shared" si="0"/>
        <v>0</v>
      </c>
      <c r="AK5" s="17">
        <v>4</v>
      </c>
      <c r="AL5" s="23">
        <f t="shared" si="1"/>
        <v>0</v>
      </c>
    </row>
    <row r="6" spans="2:38" x14ac:dyDescent="0.15">
      <c r="B6" s="14" t="s">
        <v>126</v>
      </c>
      <c r="C6" s="15">
        <v>3000000</v>
      </c>
      <c r="D6" s="16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>
        <f t="shared" si="0"/>
        <v>0</v>
      </c>
      <c r="AK6" s="17">
        <v>4</v>
      </c>
      <c r="AL6" s="18">
        <f t="shared" si="1"/>
        <v>0</v>
      </c>
    </row>
    <row r="7" spans="2:38" x14ac:dyDescent="0.15">
      <c r="B7" s="19" t="s">
        <v>127</v>
      </c>
      <c r="C7" s="20">
        <v>2000000</v>
      </c>
      <c r="D7" s="21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17">
        <f t="shared" si="0"/>
        <v>0</v>
      </c>
      <c r="AK7" s="17">
        <v>4</v>
      </c>
      <c r="AL7" s="23">
        <f t="shared" si="1"/>
        <v>0</v>
      </c>
    </row>
    <row r="8" spans="2:38" x14ac:dyDescent="0.15">
      <c r="B8" s="14" t="s">
        <v>128</v>
      </c>
      <c r="C8" s="15">
        <v>3000000</v>
      </c>
      <c r="D8" s="16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>
        <f t="shared" si="0"/>
        <v>0</v>
      </c>
      <c r="AK8" s="17">
        <v>4</v>
      </c>
      <c r="AL8" s="18">
        <f t="shared" si="1"/>
        <v>0</v>
      </c>
    </row>
    <row r="9" spans="2:38" x14ac:dyDescent="0.15">
      <c r="B9" s="19" t="s">
        <v>129</v>
      </c>
      <c r="C9" s="20">
        <v>2000000</v>
      </c>
      <c r="D9" s="21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17">
        <f t="shared" si="0"/>
        <v>0</v>
      </c>
      <c r="AK9" s="17">
        <v>4</v>
      </c>
      <c r="AL9" s="23">
        <f t="shared" si="1"/>
        <v>0</v>
      </c>
    </row>
    <row r="10" spans="2:38" x14ac:dyDescent="0.15">
      <c r="B10" s="14" t="s">
        <v>130</v>
      </c>
      <c r="C10" s="15">
        <v>2000000</v>
      </c>
      <c r="D10" s="16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>
        <f t="shared" si="0"/>
        <v>0</v>
      </c>
      <c r="AK10" s="17">
        <v>4</v>
      </c>
      <c r="AL10" s="24">
        <f t="shared" si="1"/>
        <v>0</v>
      </c>
    </row>
    <row r="11" spans="2:38" x14ac:dyDescent="0.15">
      <c r="B11" s="19" t="s">
        <v>131</v>
      </c>
      <c r="C11" s="20">
        <v>2000000</v>
      </c>
      <c r="D11" s="21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17">
        <f t="shared" si="0"/>
        <v>0</v>
      </c>
      <c r="AK11" s="17">
        <v>4</v>
      </c>
      <c r="AL11" s="23">
        <f t="shared" si="1"/>
        <v>0</v>
      </c>
    </row>
    <row r="12" spans="2:38" x14ac:dyDescent="0.15">
      <c r="B12" s="14" t="s">
        <v>132</v>
      </c>
      <c r="C12" s="15">
        <v>2000000</v>
      </c>
      <c r="D12" s="16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>
        <f t="shared" si="0"/>
        <v>0</v>
      </c>
      <c r="AK12" s="17">
        <v>4</v>
      </c>
      <c r="AL12" s="18">
        <f t="shared" si="1"/>
        <v>0</v>
      </c>
    </row>
    <row r="13" spans="2:38" x14ac:dyDescent="0.15">
      <c r="B13" s="19" t="s">
        <v>133</v>
      </c>
      <c r="C13" s="20">
        <v>2000000</v>
      </c>
      <c r="D13" s="21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17">
        <f t="shared" si="0"/>
        <v>0</v>
      </c>
      <c r="AK13" s="17">
        <v>4</v>
      </c>
      <c r="AL13" s="23">
        <f t="shared" si="1"/>
        <v>0</v>
      </c>
    </row>
    <row r="14" spans="2:38" x14ac:dyDescent="0.15">
      <c r="B14" s="14" t="s">
        <v>134</v>
      </c>
      <c r="C14" s="15">
        <v>2000000</v>
      </c>
      <c r="D14" s="16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>
        <f t="shared" si="0"/>
        <v>0</v>
      </c>
      <c r="AK14" s="17">
        <v>4</v>
      </c>
      <c r="AL14" s="18">
        <f t="shared" si="1"/>
        <v>0</v>
      </c>
    </row>
    <row r="15" spans="2:38" x14ac:dyDescent="0.15">
      <c r="B15" s="19" t="s">
        <v>135</v>
      </c>
      <c r="C15" s="20">
        <v>2000000</v>
      </c>
      <c r="D15" s="21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17">
        <f t="shared" si="0"/>
        <v>0</v>
      </c>
      <c r="AK15" s="17">
        <v>4</v>
      </c>
      <c r="AL15" s="23">
        <f t="shared" si="1"/>
        <v>0</v>
      </c>
    </row>
    <row r="16" spans="2:38" x14ac:dyDescent="0.15">
      <c r="B16" s="14" t="s">
        <v>136</v>
      </c>
      <c r="C16" s="15">
        <v>2000000</v>
      </c>
      <c r="D16" s="16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>
        <f t="shared" si="0"/>
        <v>0</v>
      </c>
      <c r="AK16" s="17">
        <v>4</v>
      </c>
      <c r="AL16" s="18">
        <f t="shared" si="1"/>
        <v>0</v>
      </c>
    </row>
    <row r="17" spans="2:38" x14ac:dyDescent="0.15">
      <c r="B17" s="19" t="s">
        <v>137</v>
      </c>
      <c r="C17" s="20">
        <v>2000000</v>
      </c>
      <c r="D17" s="21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17">
        <f t="shared" si="0"/>
        <v>0</v>
      </c>
      <c r="AK17" s="17">
        <v>4</v>
      </c>
      <c r="AL17" s="23">
        <f t="shared" si="1"/>
        <v>0</v>
      </c>
    </row>
    <row r="18" spans="2:38" x14ac:dyDescent="0.15">
      <c r="B18" s="14" t="s">
        <v>138</v>
      </c>
      <c r="C18" s="15">
        <v>2000000</v>
      </c>
      <c r="D18" s="16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>
        <f t="shared" si="0"/>
        <v>0</v>
      </c>
      <c r="AK18" s="17">
        <v>4</v>
      </c>
      <c r="AL18" s="18">
        <f t="shared" si="1"/>
        <v>0</v>
      </c>
    </row>
    <row r="19" spans="2:38" x14ac:dyDescent="0.15">
      <c r="B19" s="19" t="s">
        <v>136</v>
      </c>
      <c r="C19" s="20">
        <v>2000000</v>
      </c>
      <c r="D19" s="21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17">
        <f t="shared" si="0"/>
        <v>0</v>
      </c>
      <c r="AK19" s="17">
        <v>4</v>
      </c>
      <c r="AL19" s="23">
        <f t="shared" si="1"/>
        <v>0</v>
      </c>
    </row>
    <row r="20" spans="2:38" x14ac:dyDescent="0.15">
      <c r="B20" s="14" t="s">
        <v>139</v>
      </c>
      <c r="C20" s="15">
        <v>2000000</v>
      </c>
      <c r="D20" s="16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>
        <f t="shared" si="0"/>
        <v>0</v>
      </c>
      <c r="AK20" s="17">
        <v>4</v>
      </c>
      <c r="AL20" s="18">
        <f t="shared" si="1"/>
        <v>0</v>
      </c>
    </row>
    <row r="21" spans="2:38" x14ac:dyDescent="0.15">
      <c r="B21" s="19" t="s">
        <v>140</v>
      </c>
      <c r="C21" s="20">
        <v>3000000</v>
      </c>
      <c r="D21" s="21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17">
        <f t="shared" si="0"/>
        <v>0</v>
      </c>
      <c r="AK21" s="17">
        <v>4</v>
      </c>
      <c r="AL21" s="23">
        <f t="shared" si="1"/>
        <v>0</v>
      </c>
    </row>
    <row r="22" spans="2:38" x14ac:dyDescent="0.15">
      <c r="B22" s="14" t="s">
        <v>141</v>
      </c>
      <c r="C22" s="15">
        <v>2000000</v>
      </c>
      <c r="D22" s="16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>
        <f t="shared" si="0"/>
        <v>0</v>
      </c>
      <c r="AK22" s="17">
        <v>4</v>
      </c>
      <c r="AL22" s="18">
        <f t="shared" si="1"/>
        <v>0</v>
      </c>
    </row>
    <row r="23" spans="2:38" x14ac:dyDescent="0.15">
      <c r="B23" s="19" t="s">
        <v>142</v>
      </c>
      <c r="C23" s="20">
        <v>3000000</v>
      </c>
      <c r="D23" s="21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17">
        <f t="shared" si="0"/>
        <v>0</v>
      </c>
      <c r="AK23" s="17">
        <v>4</v>
      </c>
      <c r="AL23" s="23">
        <f t="shared" si="1"/>
        <v>0</v>
      </c>
    </row>
    <row r="24" spans="2:38" x14ac:dyDescent="0.15">
      <c r="B24" s="14" t="s">
        <v>143</v>
      </c>
      <c r="C24" s="15">
        <v>2000000</v>
      </c>
      <c r="D24" s="16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>
        <f t="shared" si="0"/>
        <v>0</v>
      </c>
      <c r="AK24" s="17">
        <v>4</v>
      </c>
      <c r="AL24" s="18">
        <f t="shared" si="1"/>
        <v>0</v>
      </c>
    </row>
    <row r="25" spans="2:38" x14ac:dyDescent="0.15">
      <c r="B25" s="19" t="s">
        <v>144</v>
      </c>
      <c r="C25" s="20">
        <v>2000000</v>
      </c>
      <c r="D25" s="21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17">
        <f t="shared" si="0"/>
        <v>0</v>
      </c>
      <c r="AK25" s="17">
        <v>4</v>
      </c>
      <c r="AL25" s="23">
        <f t="shared" si="1"/>
        <v>0</v>
      </c>
    </row>
    <row r="26" spans="2:38" x14ac:dyDescent="0.15">
      <c r="B26" s="25" t="s">
        <v>145</v>
      </c>
      <c r="C26" s="26">
        <v>2000000</v>
      </c>
      <c r="D26" s="27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17">
        <f t="shared" si="0"/>
        <v>0</v>
      </c>
      <c r="AK26" s="17">
        <v>4</v>
      </c>
      <c r="AL26" s="29">
        <f t="shared" si="1"/>
        <v>0</v>
      </c>
    </row>
  </sheetData>
  <mergeCells count="4">
    <mergeCell ref="D2:J2"/>
    <mergeCell ref="L2:R2"/>
    <mergeCell ref="T2:Z2"/>
    <mergeCell ref="AB2:AF2"/>
  </mergeCell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2:I38"/>
  <sheetViews>
    <sheetView topLeftCell="A2" workbookViewId="0">
      <selection activeCell="C33" sqref="C33"/>
    </sheetView>
  </sheetViews>
  <sheetFormatPr baseColWidth="10" defaultColWidth="11" defaultRowHeight="13.5" x14ac:dyDescent="0.15"/>
  <cols>
    <col min="2" max="2" width="33.75" customWidth="1"/>
    <col min="3" max="3" width="34.5" customWidth="1"/>
    <col min="4" max="4" width="14" customWidth="1"/>
    <col min="5" max="5" width="45.375" customWidth="1"/>
    <col min="6" max="6" width="17.625" customWidth="1"/>
    <col min="7" max="7" width="23" customWidth="1"/>
    <col min="8" max="8" width="24.625" customWidth="1"/>
    <col min="9" max="9" width="31.125" customWidth="1"/>
    <col min="10" max="10" width="33.75" customWidth="1"/>
  </cols>
  <sheetData>
    <row r="2" spans="2:9" x14ac:dyDescent="0.15">
      <c r="B2" s="1" t="s">
        <v>187</v>
      </c>
      <c r="C2" s="1" t="s">
        <v>188</v>
      </c>
      <c r="D2" s="1" t="s">
        <v>189</v>
      </c>
      <c r="E2" s="1" t="s">
        <v>18</v>
      </c>
      <c r="F2" s="1" t="s">
        <v>190</v>
      </c>
      <c r="G2" s="1" t="s">
        <v>191</v>
      </c>
      <c r="H2" s="1" t="s">
        <v>192</v>
      </c>
      <c r="I2" s="1" t="s">
        <v>22</v>
      </c>
    </row>
    <row r="3" spans="2:9" x14ac:dyDescent="0.15">
      <c r="B3" s="2" t="s">
        <v>28</v>
      </c>
      <c r="C3" s="2" t="s">
        <v>193</v>
      </c>
      <c r="D3" s="2" t="s">
        <v>30</v>
      </c>
      <c r="E3" s="2" t="s">
        <v>194</v>
      </c>
      <c r="F3" s="2" t="s">
        <v>195</v>
      </c>
      <c r="G3" s="2" t="s">
        <v>196</v>
      </c>
      <c r="H3" s="2" t="s">
        <v>197</v>
      </c>
      <c r="I3" s="2" t="s">
        <v>198</v>
      </c>
    </row>
    <row r="4" spans="2:9" x14ac:dyDescent="0.15">
      <c r="B4" s="2" t="s">
        <v>199</v>
      </c>
      <c r="C4" s="2" t="s">
        <v>200</v>
      </c>
      <c r="D4" s="2" t="s">
        <v>201</v>
      </c>
      <c r="E4" s="2" t="s">
        <v>29</v>
      </c>
      <c r="F4" s="2" t="s">
        <v>202</v>
      </c>
      <c r="G4" s="2" t="s">
        <v>31</v>
      </c>
      <c r="H4" s="2" t="s">
        <v>203</v>
      </c>
      <c r="I4" s="2" t="s">
        <v>33</v>
      </c>
    </row>
    <row r="5" spans="2:9" x14ac:dyDescent="0.15">
      <c r="B5" s="2" t="s">
        <v>204</v>
      </c>
      <c r="C5" s="2" t="s">
        <v>26</v>
      </c>
      <c r="D5" s="2" t="s">
        <v>205</v>
      </c>
      <c r="E5" s="2" t="s">
        <v>206</v>
      </c>
      <c r="F5" s="2" t="s">
        <v>207</v>
      </c>
      <c r="G5" s="2" t="s">
        <v>208</v>
      </c>
      <c r="H5" s="2" t="s">
        <v>209</v>
      </c>
      <c r="I5" s="2" t="s">
        <v>210</v>
      </c>
    </row>
    <row r="6" spans="2:9" x14ac:dyDescent="0.15">
      <c r="B6" s="2" t="s">
        <v>211</v>
      </c>
      <c r="C6" s="2" t="s">
        <v>212</v>
      </c>
      <c r="D6" s="2" t="s">
        <v>213</v>
      </c>
      <c r="E6" s="2" t="s">
        <v>214</v>
      </c>
      <c r="F6" s="2" t="s">
        <v>215</v>
      </c>
      <c r="G6" s="2" t="s">
        <v>216</v>
      </c>
      <c r="H6" s="2" t="s">
        <v>217</v>
      </c>
      <c r="I6" s="2" t="s">
        <v>218</v>
      </c>
    </row>
    <row r="7" spans="2:9" x14ac:dyDescent="0.15">
      <c r="B7" s="2" t="s">
        <v>219</v>
      </c>
      <c r="C7" s="2" t="s">
        <v>220</v>
      </c>
      <c r="D7" s="2" t="s">
        <v>221</v>
      </c>
      <c r="E7" s="2" t="s">
        <v>222</v>
      </c>
      <c r="F7" s="2" t="s">
        <v>223</v>
      </c>
      <c r="G7" s="2" t="s">
        <v>224</v>
      </c>
      <c r="H7" s="2" t="s">
        <v>32</v>
      </c>
      <c r="I7" s="2" t="s">
        <v>225</v>
      </c>
    </row>
    <row r="8" spans="2:9" x14ac:dyDescent="0.15">
      <c r="B8" s="2" t="s">
        <v>226</v>
      </c>
      <c r="C8" s="2" t="s">
        <v>227</v>
      </c>
      <c r="D8" s="2" t="s">
        <v>228</v>
      </c>
      <c r="E8" s="2" t="s">
        <v>229</v>
      </c>
      <c r="F8" s="2" t="s">
        <v>230</v>
      </c>
      <c r="G8" s="2" t="s">
        <v>231</v>
      </c>
      <c r="H8" s="2" t="s">
        <v>232</v>
      </c>
      <c r="I8" s="2"/>
    </row>
    <row r="9" spans="2:9" x14ac:dyDescent="0.15">
      <c r="B9" s="2"/>
      <c r="C9" s="2" t="s">
        <v>233</v>
      </c>
      <c r="D9" s="2" t="s">
        <v>31</v>
      </c>
      <c r="E9" s="2" t="s">
        <v>234</v>
      </c>
      <c r="F9" s="2" t="s">
        <v>235</v>
      </c>
      <c r="G9" s="2" t="s">
        <v>236</v>
      </c>
      <c r="H9" s="2" t="s">
        <v>210</v>
      </c>
      <c r="I9" s="2"/>
    </row>
    <row r="10" spans="2:9" x14ac:dyDescent="0.15">
      <c r="B10" s="2"/>
      <c r="C10" s="2" t="s">
        <v>237</v>
      </c>
      <c r="D10" s="2" t="s">
        <v>238</v>
      </c>
      <c r="E10" s="2" t="s">
        <v>239</v>
      </c>
      <c r="F10" s="2" t="s">
        <v>240</v>
      </c>
      <c r="G10" s="2" t="s">
        <v>241</v>
      </c>
      <c r="H10" s="2" t="s">
        <v>242</v>
      </c>
      <c r="I10" s="2"/>
    </row>
    <row r="11" spans="2:9" x14ac:dyDescent="0.15">
      <c r="B11" s="2"/>
      <c r="C11" s="2" t="s">
        <v>243</v>
      </c>
      <c r="D11" s="2" t="s">
        <v>244</v>
      </c>
      <c r="E11" s="2" t="s">
        <v>245</v>
      </c>
      <c r="F11" s="2" t="s">
        <v>246</v>
      </c>
      <c r="G11" s="2" t="s">
        <v>247</v>
      </c>
      <c r="H11" s="2"/>
      <c r="I11" s="2"/>
    </row>
    <row r="12" spans="2:9" x14ac:dyDescent="0.15">
      <c r="B12" s="2"/>
      <c r="C12" s="2" t="s">
        <v>248</v>
      </c>
      <c r="D12" s="2"/>
      <c r="E12" s="2" t="s">
        <v>249</v>
      </c>
      <c r="F12" s="2"/>
      <c r="G12" s="2" t="s">
        <v>250</v>
      </c>
      <c r="H12" s="2"/>
      <c r="I12" s="2"/>
    </row>
    <row r="15" spans="2:9" x14ac:dyDescent="0.15">
      <c r="B15" s="2" t="s">
        <v>14</v>
      </c>
      <c r="C15" t="s">
        <v>122</v>
      </c>
    </row>
    <row r="16" spans="2:9" x14ac:dyDescent="0.15">
      <c r="B16" s="2" t="s">
        <v>27</v>
      </c>
    </row>
    <row r="17" spans="2:2" x14ac:dyDescent="0.15">
      <c r="B17" s="2" t="s">
        <v>37</v>
      </c>
    </row>
    <row r="18" spans="2:2" x14ac:dyDescent="0.15">
      <c r="B18" s="2" t="s">
        <v>40</v>
      </c>
    </row>
    <row r="19" spans="2:2" x14ac:dyDescent="0.15">
      <c r="B19" s="2" t="s">
        <v>44</v>
      </c>
    </row>
    <row r="20" spans="2:2" x14ac:dyDescent="0.15">
      <c r="B20" s="2" t="s">
        <v>48</v>
      </c>
    </row>
    <row r="21" spans="2:2" x14ac:dyDescent="0.15">
      <c r="B21" s="2" t="s">
        <v>52</v>
      </c>
    </row>
    <row r="22" spans="2:2" x14ac:dyDescent="0.15">
      <c r="B22" s="2" t="s">
        <v>56</v>
      </c>
    </row>
    <row r="23" spans="2:2" x14ac:dyDescent="0.15">
      <c r="B23" s="2" t="s">
        <v>60</v>
      </c>
    </row>
    <row r="24" spans="2:2" x14ac:dyDescent="0.15">
      <c r="B24" s="2" t="s">
        <v>64</v>
      </c>
    </row>
    <row r="25" spans="2:2" x14ac:dyDescent="0.15">
      <c r="B25" s="2" t="s">
        <v>68</v>
      </c>
    </row>
    <row r="26" spans="2:2" x14ac:dyDescent="0.15">
      <c r="B26" s="2" t="s">
        <v>72</v>
      </c>
    </row>
    <row r="27" spans="2:2" x14ac:dyDescent="0.15">
      <c r="B27" s="2" t="s">
        <v>76</v>
      </c>
    </row>
    <row r="28" spans="2:2" x14ac:dyDescent="0.15">
      <c r="B28" s="2" t="s">
        <v>80</v>
      </c>
    </row>
    <row r="29" spans="2:2" x14ac:dyDescent="0.15">
      <c r="B29" s="2" t="s">
        <v>84</v>
      </c>
    </row>
    <row r="30" spans="2:2" x14ac:dyDescent="0.15">
      <c r="B30" s="2" t="s">
        <v>88</v>
      </c>
    </row>
    <row r="31" spans="2:2" x14ac:dyDescent="0.15">
      <c r="B31" s="2" t="s">
        <v>90</v>
      </c>
    </row>
    <row r="32" spans="2:2" x14ac:dyDescent="0.15">
      <c r="B32" s="2" t="s">
        <v>94</v>
      </c>
    </row>
    <row r="33" spans="2:2" x14ac:dyDescent="0.15">
      <c r="B33" s="2" t="s">
        <v>98</v>
      </c>
    </row>
    <row r="34" spans="2:2" x14ac:dyDescent="0.15">
      <c r="B34" s="2" t="s">
        <v>102</v>
      </c>
    </row>
    <row r="35" spans="2:2" x14ac:dyDescent="0.15">
      <c r="B35" s="2" t="s">
        <v>106</v>
      </c>
    </row>
    <row r="36" spans="2:2" x14ac:dyDescent="0.15">
      <c r="B36" s="2" t="s">
        <v>110</v>
      </c>
    </row>
    <row r="37" spans="2:2" x14ac:dyDescent="0.15">
      <c r="B37" s="2" t="s">
        <v>114</v>
      </c>
    </row>
    <row r="38" spans="2:2" x14ac:dyDescent="0.15">
      <c r="B38" s="2" t="s">
        <v>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PORTADA</vt:lpstr>
      <vt:lpstr>BASE DE DATOS </vt:lpstr>
      <vt:lpstr>NOVEDADES</vt:lpstr>
      <vt:lpstr>LISTA DE FALLAS</vt:lpstr>
      <vt:lpstr>2</vt:lpstr>
      <vt:lpstr>'BASE DE DATOS '!Área_de_impresión</vt:lpstr>
      <vt:lpstr>NOVEDADES!Área_de_impresión</vt:lpstr>
      <vt:lpstr>PORTADA!Área_de_impresión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30_94041021660</dc:creator>
  <cp:lastModifiedBy>Juan Carls</cp:lastModifiedBy>
  <dcterms:created xsi:type="dcterms:W3CDTF">2026-08-24T15:10:00Z</dcterms:created>
  <dcterms:modified xsi:type="dcterms:W3CDTF">2026-09-07T23:55:32Z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c111285-cafa-4fc9-8a9a-bd902089b24f_Enabled">
    <vt:lpwstr>true</vt:lpwstr>
  </property>
  <property fmtid="{D5CDD505-2E9C-101B-9397-08002B2CF9AE}" pid="3" name="MSIP_Label_fc111285-cafa-4fc9-8a9a-bd902089b24f_SetDate">
    <vt:lpwstr>2026-08-24T16:06:17Z</vt:lpwstr>
  </property>
  <property fmtid="{D5CDD505-2E9C-101B-9397-08002B2CF9AE}" pid="4" name="MSIP_Label_fc111285-cafa-4fc9-8a9a-bd902089b24f_Method">
    <vt:lpwstr>Privileged</vt:lpwstr>
  </property>
  <property fmtid="{D5CDD505-2E9C-101B-9397-08002B2CF9AE}" pid="5" name="MSIP_Label_fc111285-cafa-4fc9-8a9a-bd902089b24f_Name">
    <vt:lpwstr>Public</vt:lpwstr>
  </property>
  <property fmtid="{D5CDD505-2E9C-101B-9397-08002B2CF9AE}" pid="6" name="MSIP_Label_fc111285-cafa-4fc9-8a9a-bd902089b24f_SiteId">
    <vt:lpwstr>cbc2c381-2f2e-4d93-91d1-506c9316ace7</vt:lpwstr>
  </property>
  <property fmtid="{D5CDD505-2E9C-101B-9397-08002B2CF9AE}" pid="7" name="MSIP_Label_fc111285-cafa-4fc9-8a9a-bd902089b24f_ActionId">
    <vt:lpwstr>c558395c-8085-40f4-bcc4-1d7c2b7dc37e</vt:lpwstr>
  </property>
  <property fmtid="{D5CDD505-2E9C-101B-9397-08002B2CF9AE}" pid="8" name="MSIP_Label_fc111285-cafa-4fc9-8a9a-bd902089b24f_ContentBits">
    <vt:lpwstr>0</vt:lpwstr>
  </property>
  <property fmtid="{D5CDD505-2E9C-101B-9397-08002B2CF9AE}" pid="9" name="MSIP_Label_fc111285-cafa-4fc9-8a9a-bd902089b24f_Tag">
    <vt:lpwstr>10, 0, 1, 1</vt:lpwstr>
  </property>
  <property fmtid="{D5CDD505-2E9C-101B-9397-08002B2CF9AE}" pid="10" name="KSOProductBuildVer">
    <vt:lpwstr>2058-12.1.0.28032</vt:lpwstr>
  </property>
  <property fmtid="{D5CDD505-2E9C-101B-9397-08002B2CF9AE}" pid="11" name="CalculationRule">
    <vt:i4>0</vt:i4>
  </property>
  <property fmtid="{D5CDD505-2E9C-101B-9397-08002B2CF9AE}" pid="12" name="ICV">
    <vt:lpwstr>DB4875B7023F4A0097D5798D7506B652_13</vt:lpwstr>
  </property>
</Properties>
</file>